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rankvod/golf-tournament-app/backend/"/>
    </mc:Choice>
  </mc:AlternateContent>
  <xr:revisionPtr revIDLastSave="0" documentId="13_ncr:1_{1EFB1DAE-86BE-6849-9DDA-3C4AFCB0E458}" xr6:coauthVersionLast="47" xr6:coauthVersionMax="47" xr10:uidLastSave="{00000000-0000-0000-0000-000000000000}"/>
  <bookViews>
    <workbookView xWindow="0" yWindow="500" windowWidth="28800" windowHeight="16120" firstSheet="1" activeTab="5" xr2:uid="{00000000-000D-0000-FFFF-FFFF00000000}"/>
  </bookViews>
  <sheets>
    <sheet name="Round1" sheetId="1" r:id="rId1"/>
    <sheet name="RND 1 STBL" sheetId="10" r:id="rId2"/>
    <sheet name="Round2" sheetId="19" r:id="rId3"/>
    <sheet name="RND 2 MP" sheetId="11" r:id="rId4"/>
    <sheet name="Round3" sheetId="20" r:id="rId5"/>
    <sheet name="RND 3 MSTB" sheetId="12" r:id="rId6"/>
    <sheet name="Round4" sheetId="22" r:id="rId7"/>
    <sheet name="RND 4 STBL" sheetId="14" r:id="rId8"/>
    <sheet name="Round5" sheetId="23" r:id="rId9"/>
    <sheet name="RND 5 MP" sheetId="24" r:id="rId10"/>
    <sheet name="Round6" sheetId="25" r:id="rId11"/>
    <sheet name="RND 6 NET" sheetId="15" r:id="rId12"/>
    <sheet name="OVERALL CALC" sheetId="18" r:id="rId13"/>
    <sheet name="HCP TRK" sheetId="9" r:id="rId14"/>
    <sheet name="OPTA" sheetId="2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5" l="1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C30" i="15"/>
  <c r="C29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C18" i="15"/>
  <c r="C19" i="15" s="1"/>
  <c r="C17" i="15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C53" i="12"/>
  <c r="C52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C41" i="12"/>
  <c r="C40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C29" i="12"/>
  <c r="C28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D18" i="12"/>
  <c r="D30" i="12" s="1"/>
  <c r="D42" i="12" s="1"/>
  <c r="D54" i="12" s="1"/>
  <c r="E18" i="12"/>
  <c r="E30" i="12" s="1"/>
  <c r="E42" i="12" s="1"/>
  <c r="E54" i="12" s="1"/>
  <c r="F18" i="12"/>
  <c r="F30" i="12" s="1"/>
  <c r="F42" i="12" s="1"/>
  <c r="F54" i="12" s="1"/>
  <c r="G18" i="12"/>
  <c r="G30" i="12" s="1"/>
  <c r="G42" i="12" s="1"/>
  <c r="G54" i="12" s="1"/>
  <c r="H18" i="12"/>
  <c r="H30" i="12" s="1"/>
  <c r="H42" i="12" s="1"/>
  <c r="H54" i="12" s="1"/>
  <c r="I18" i="12"/>
  <c r="I30" i="12" s="1"/>
  <c r="I42" i="12" s="1"/>
  <c r="I54" i="12" s="1"/>
  <c r="J18" i="12"/>
  <c r="J30" i="12" s="1"/>
  <c r="J42" i="12" s="1"/>
  <c r="J54" i="12" s="1"/>
  <c r="K18" i="12"/>
  <c r="K30" i="12" s="1"/>
  <c r="K42" i="12" s="1"/>
  <c r="K54" i="12" s="1"/>
  <c r="L18" i="12"/>
  <c r="L30" i="12" s="1"/>
  <c r="L42" i="12" s="1"/>
  <c r="L54" i="12" s="1"/>
  <c r="M18" i="12"/>
  <c r="M30" i="12" s="1"/>
  <c r="M42" i="12" s="1"/>
  <c r="M54" i="12" s="1"/>
  <c r="N18" i="12"/>
  <c r="N30" i="12" s="1"/>
  <c r="N42" i="12" s="1"/>
  <c r="N54" i="12" s="1"/>
  <c r="O18" i="12"/>
  <c r="O30" i="12" s="1"/>
  <c r="O42" i="12" s="1"/>
  <c r="O54" i="12" s="1"/>
  <c r="P18" i="12"/>
  <c r="P30" i="12" s="1"/>
  <c r="P42" i="12" s="1"/>
  <c r="P54" i="12" s="1"/>
  <c r="Q18" i="12"/>
  <c r="Q30" i="12" s="1"/>
  <c r="Q42" i="12" s="1"/>
  <c r="Q54" i="12" s="1"/>
  <c r="R18" i="12"/>
  <c r="R30" i="12" s="1"/>
  <c r="R42" i="12" s="1"/>
  <c r="R54" i="12" s="1"/>
  <c r="S18" i="12"/>
  <c r="S30" i="12" s="1"/>
  <c r="S42" i="12" s="1"/>
  <c r="S54" i="12" s="1"/>
  <c r="T18" i="12"/>
  <c r="T30" i="12" s="1"/>
  <c r="T42" i="12" s="1"/>
  <c r="T54" i="12" s="1"/>
  <c r="C18" i="12"/>
  <c r="C30" i="12" s="1"/>
  <c r="C42" i="12" s="1"/>
  <c r="C54" i="12" s="1"/>
  <c r="C17" i="12"/>
  <c r="J36" i="26"/>
  <c r="K36" i="26"/>
  <c r="M36" i="26"/>
  <c r="N36" i="26"/>
  <c r="O36" i="26"/>
  <c r="J37" i="26"/>
  <c r="K37" i="26"/>
  <c r="M37" i="26"/>
  <c r="N37" i="26"/>
  <c r="O37" i="26"/>
  <c r="J38" i="26"/>
  <c r="K38" i="26"/>
  <c r="M38" i="26"/>
  <c r="N38" i="26"/>
  <c r="O38" i="26"/>
  <c r="J39" i="26"/>
  <c r="K39" i="26"/>
  <c r="M39" i="26"/>
  <c r="N39" i="26"/>
  <c r="O39" i="26"/>
  <c r="J40" i="26"/>
  <c r="K40" i="26"/>
  <c r="M40" i="26"/>
  <c r="N40" i="26"/>
  <c r="O40" i="26"/>
  <c r="J41" i="26"/>
  <c r="K41" i="26"/>
  <c r="M41" i="26"/>
  <c r="N41" i="26"/>
  <c r="O41" i="26"/>
  <c r="J42" i="26"/>
  <c r="K42" i="26"/>
  <c r="M42" i="26"/>
  <c r="N42" i="26"/>
  <c r="O42" i="26"/>
  <c r="O35" i="26"/>
  <c r="N35" i="26"/>
  <c r="M35" i="26"/>
  <c r="K35" i="26"/>
  <c r="J35" i="26"/>
  <c r="A36" i="26"/>
  <c r="A37" i="26"/>
  <c r="A38" i="26"/>
  <c r="A39" i="26"/>
  <c r="A40" i="26"/>
  <c r="A41" i="26"/>
  <c r="A42" i="26"/>
  <c r="A3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BD25" i="26"/>
  <c r="BE25" i="26"/>
  <c r="BF25" i="26"/>
  <c r="BG25" i="26"/>
  <c r="BH25" i="26"/>
  <c r="BI25" i="26"/>
  <c r="BJ25" i="26"/>
  <c r="BK25" i="26"/>
  <c r="BL25" i="26"/>
  <c r="BM25" i="26"/>
  <c r="BN25" i="26"/>
  <c r="BO25" i="26"/>
  <c r="BP25" i="26"/>
  <c r="BQ25" i="26"/>
  <c r="BR25" i="26"/>
  <c r="BS25" i="26"/>
  <c r="BT25" i="26"/>
  <c r="BU25" i="26"/>
  <c r="BV25" i="26"/>
  <c r="BW25" i="26"/>
  <c r="BX25" i="26"/>
  <c r="BY25" i="26"/>
  <c r="BZ25" i="26"/>
  <c r="CA25" i="26"/>
  <c r="CB25" i="26"/>
  <c r="CC25" i="26"/>
  <c r="CD25" i="26"/>
  <c r="CE25" i="26"/>
  <c r="CF25" i="26"/>
  <c r="CG25" i="26"/>
  <c r="CH25" i="26"/>
  <c r="CI25" i="26"/>
  <c r="CJ25" i="26"/>
  <c r="CK25" i="26"/>
  <c r="CL25" i="26"/>
  <c r="CM25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BD26" i="26"/>
  <c r="BE26" i="26"/>
  <c r="BF26" i="26"/>
  <c r="BG26" i="26"/>
  <c r="BH26" i="26"/>
  <c r="BI26" i="26"/>
  <c r="BJ26" i="26"/>
  <c r="BK26" i="26"/>
  <c r="BL26" i="26"/>
  <c r="BM26" i="26"/>
  <c r="BN26" i="26"/>
  <c r="BO26" i="26"/>
  <c r="BP26" i="26"/>
  <c r="BQ26" i="26"/>
  <c r="BR26" i="26"/>
  <c r="BS26" i="26"/>
  <c r="BT26" i="26"/>
  <c r="BU26" i="26"/>
  <c r="BV26" i="26"/>
  <c r="BW26" i="26"/>
  <c r="BX26" i="26"/>
  <c r="BY26" i="26"/>
  <c r="BZ26" i="26"/>
  <c r="CA26" i="26"/>
  <c r="CB26" i="26"/>
  <c r="CC26" i="26"/>
  <c r="CD26" i="26"/>
  <c r="CE26" i="26"/>
  <c r="CF26" i="26"/>
  <c r="CG26" i="26"/>
  <c r="CH26" i="26"/>
  <c r="CI26" i="26"/>
  <c r="CJ26" i="26"/>
  <c r="CK26" i="26"/>
  <c r="CL26" i="26"/>
  <c r="CM26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BD27" i="26"/>
  <c r="BE27" i="26"/>
  <c r="BF27" i="26"/>
  <c r="BG27" i="26"/>
  <c r="BH27" i="26"/>
  <c r="BI27" i="26"/>
  <c r="BJ27" i="26"/>
  <c r="BK27" i="26"/>
  <c r="BL27" i="26"/>
  <c r="BM27" i="26"/>
  <c r="BN27" i="26"/>
  <c r="BO27" i="26"/>
  <c r="BP27" i="26"/>
  <c r="BQ27" i="26"/>
  <c r="BR27" i="26"/>
  <c r="BS27" i="26"/>
  <c r="BT27" i="26"/>
  <c r="BU27" i="26"/>
  <c r="BV27" i="26"/>
  <c r="BW27" i="26"/>
  <c r="BX27" i="26"/>
  <c r="BY27" i="26"/>
  <c r="BZ27" i="26"/>
  <c r="CA27" i="26"/>
  <c r="CB27" i="26"/>
  <c r="CC27" i="26"/>
  <c r="CD27" i="26"/>
  <c r="CE27" i="26"/>
  <c r="CF27" i="26"/>
  <c r="CG27" i="26"/>
  <c r="CH27" i="26"/>
  <c r="CI27" i="26"/>
  <c r="CJ27" i="26"/>
  <c r="CK27" i="26"/>
  <c r="CL27" i="26"/>
  <c r="CM27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BD28" i="26"/>
  <c r="BE28" i="26"/>
  <c r="BF28" i="26"/>
  <c r="BG28" i="26"/>
  <c r="BH28" i="26"/>
  <c r="BI28" i="26"/>
  <c r="BJ28" i="26"/>
  <c r="BK28" i="26"/>
  <c r="BL28" i="26"/>
  <c r="BM28" i="26"/>
  <c r="BN28" i="26"/>
  <c r="BO28" i="26"/>
  <c r="BP28" i="26"/>
  <c r="BQ28" i="26"/>
  <c r="BR28" i="26"/>
  <c r="BS28" i="26"/>
  <c r="BT28" i="26"/>
  <c r="BU28" i="26"/>
  <c r="BV28" i="26"/>
  <c r="BW28" i="26"/>
  <c r="BX28" i="26"/>
  <c r="BY28" i="26"/>
  <c r="BZ28" i="26"/>
  <c r="CA28" i="26"/>
  <c r="CB28" i="26"/>
  <c r="CC28" i="26"/>
  <c r="CD28" i="26"/>
  <c r="CE28" i="26"/>
  <c r="CF28" i="26"/>
  <c r="CG28" i="26"/>
  <c r="CH28" i="26"/>
  <c r="CI28" i="26"/>
  <c r="CJ28" i="26"/>
  <c r="CK28" i="26"/>
  <c r="CL28" i="26"/>
  <c r="CM28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BD29" i="26"/>
  <c r="BE29" i="26"/>
  <c r="BF29" i="26"/>
  <c r="BG29" i="26"/>
  <c r="BH29" i="26"/>
  <c r="BI29" i="26"/>
  <c r="BJ29" i="26"/>
  <c r="BK29" i="26"/>
  <c r="BL29" i="26"/>
  <c r="BM29" i="26"/>
  <c r="BN29" i="26"/>
  <c r="BO29" i="26"/>
  <c r="BP29" i="26"/>
  <c r="BQ29" i="26"/>
  <c r="BR29" i="26"/>
  <c r="BS29" i="26"/>
  <c r="BT29" i="26"/>
  <c r="BU29" i="26"/>
  <c r="BV29" i="26"/>
  <c r="BW29" i="26"/>
  <c r="BX29" i="26"/>
  <c r="BY29" i="26"/>
  <c r="BZ29" i="26"/>
  <c r="CA29" i="26"/>
  <c r="CB29" i="26"/>
  <c r="CC29" i="26"/>
  <c r="CD29" i="26"/>
  <c r="CE29" i="26"/>
  <c r="CF29" i="26"/>
  <c r="CG29" i="26"/>
  <c r="CH29" i="26"/>
  <c r="CI29" i="26"/>
  <c r="CJ29" i="26"/>
  <c r="CK29" i="26"/>
  <c r="CL29" i="26"/>
  <c r="CM29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BD30" i="26"/>
  <c r="BE30" i="26"/>
  <c r="BF30" i="26"/>
  <c r="BG30" i="26"/>
  <c r="BH30" i="26"/>
  <c r="BI30" i="26"/>
  <c r="BJ30" i="26"/>
  <c r="BK30" i="26"/>
  <c r="BL30" i="26"/>
  <c r="BM30" i="26"/>
  <c r="BN30" i="26"/>
  <c r="BO30" i="26"/>
  <c r="BP30" i="26"/>
  <c r="BQ30" i="26"/>
  <c r="BR30" i="26"/>
  <c r="BS30" i="26"/>
  <c r="BT30" i="26"/>
  <c r="BU30" i="26"/>
  <c r="BV30" i="26"/>
  <c r="BW30" i="26"/>
  <c r="BX30" i="26"/>
  <c r="BY30" i="26"/>
  <c r="BZ30" i="26"/>
  <c r="CA30" i="26"/>
  <c r="CB30" i="26"/>
  <c r="CC30" i="26"/>
  <c r="CD30" i="26"/>
  <c r="CE30" i="26"/>
  <c r="CF30" i="26"/>
  <c r="CG30" i="26"/>
  <c r="CH30" i="26"/>
  <c r="CI30" i="26"/>
  <c r="CJ30" i="26"/>
  <c r="CK30" i="26"/>
  <c r="CL30" i="26"/>
  <c r="CM30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BD31" i="26"/>
  <c r="BE31" i="26"/>
  <c r="BF31" i="26"/>
  <c r="BG31" i="26"/>
  <c r="BH31" i="26"/>
  <c r="BI31" i="26"/>
  <c r="BJ31" i="26"/>
  <c r="BK31" i="26"/>
  <c r="BL31" i="26"/>
  <c r="BM31" i="26"/>
  <c r="BN31" i="26"/>
  <c r="BO31" i="26"/>
  <c r="BP31" i="26"/>
  <c r="BQ31" i="26"/>
  <c r="BR31" i="26"/>
  <c r="BS31" i="26"/>
  <c r="BT31" i="26"/>
  <c r="BU31" i="26"/>
  <c r="BV31" i="26"/>
  <c r="BW31" i="26"/>
  <c r="BX31" i="26"/>
  <c r="BY31" i="26"/>
  <c r="BZ31" i="26"/>
  <c r="CA31" i="26"/>
  <c r="CB31" i="26"/>
  <c r="CC31" i="26"/>
  <c r="CD31" i="26"/>
  <c r="CE31" i="26"/>
  <c r="CF31" i="26"/>
  <c r="CG31" i="26"/>
  <c r="CH31" i="26"/>
  <c r="CI31" i="26"/>
  <c r="CJ31" i="26"/>
  <c r="CK31" i="26"/>
  <c r="CL31" i="26"/>
  <c r="CM31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K32" i="26"/>
  <c r="BD32" i="26"/>
  <c r="BE32" i="26"/>
  <c r="BF32" i="26"/>
  <c r="BG32" i="26"/>
  <c r="BH32" i="26"/>
  <c r="BI32" i="26"/>
  <c r="BJ32" i="26"/>
  <c r="BK32" i="26"/>
  <c r="BL32" i="26"/>
  <c r="BM32" i="26"/>
  <c r="BN32" i="26"/>
  <c r="BO32" i="26"/>
  <c r="BP32" i="26"/>
  <c r="BQ32" i="26"/>
  <c r="BR32" i="26"/>
  <c r="BS32" i="26"/>
  <c r="BT32" i="26"/>
  <c r="BU32" i="26"/>
  <c r="BV32" i="26"/>
  <c r="BW32" i="26"/>
  <c r="BX32" i="26"/>
  <c r="BY32" i="26"/>
  <c r="BZ32" i="26"/>
  <c r="CA32" i="26"/>
  <c r="CB32" i="26"/>
  <c r="CC32" i="26"/>
  <c r="CD32" i="26"/>
  <c r="CE32" i="26"/>
  <c r="CF32" i="26"/>
  <c r="CG32" i="26"/>
  <c r="CH32" i="26"/>
  <c r="CI32" i="26"/>
  <c r="CJ32" i="26"/>
  <c r="CK32" i="26"/>
  <c r="CL32" i="26"/>
  <c r="CM32" i="26"/>
  <c r="B26" i="26"/>
  <c r="C26" i="26"/>
  <c r="D26" i="26"/>
  <c r="E26" i="26"/>
  <c r="F26" i="26"/>
  <c r="G26" i="26"/>
  <c r="B27" i="26"/>
  <c r="C27" i="26"/>
  <c r="D27" i="26"/>
  <c r="E27" i="26"/>
  <c r="F27" i="26"/>
  <c r="G27" i="26"/>
  <c r="B28" i="26"/>
  <c r="C28" i="26"/>
  <c r="D28" i="26"/>
  <c r="E28" i="26"/>
  <c r="F28" i="26"/>
  <c r="G28" i="26"/>
  <c r="B29" i="26"/>
  <c r="C29" i="26"/>
  <c r="D29" i="26"/>
  <c r="E29" i="26"/>
  <c r="F29" i="26"/>
  <c r="G29" i="26"/>
  <c r="B30" i="26"/>
  <c r="C30" i="26"/>
  <c r="D30" i="26"/>
  <c r="E30" i="26"/>
  <c r="F30" i="26"/>
  <c r="G30" i="26"/>
  <c r="B31" i="26"/>
  <c r="C31" i="26"/>
  <c r="D31" i="26"/>
  <c r="E31" i="26"/>
  <c r="F31" i="26"/>
  <c r="G31" i="26"/>
  <c r="B32" i="26"/>
  <c r="C32" i="26"/>
  <c r="D32" i="26"/>
  <c r="E32" i="26"/>
  <c r="F32" i="26"/>
  <c r="G32" i="26"/>
  <c r="C25" i="26"/>
  <c r="D25" i="26"/>
  <c r="E25" i="26"/>
  <c r="F25" i="26"/>
  <c r="G25" i="26"/>
  <c r="B25" i="26"/>
  <c r="A26" i="26" l="1"/>
  <c r="A27" i="26"/>
  <c r="A28" i="26"/>
  <c r="A29" i="26"/>
  <c r="A30" i="26"/>
  <c r="A31" i="26"/>
  <c r="A32" i="26"/>
  <c r="A25" i="26"/>
  <c r="G16" i="26"/>
  <c r="H16" i="26"/>
  <c r="I16" i="26"/>
  <c r="J16" i="26"/>
  <c r="K16" i="26"/>
  <c r="L16" i="26"/>
  <c r="M16" i="26"/>
  <c r="N16" i="26"/>
  <c r="G17" i="26"/>
  <c r="H17" i="26"/>
  <c r="I17" i="26"/>
  <c r="J17" i="26"/>
  <c r="K17" i="26"/>
  <c r="L17" i="26"/>
  <c r="M17" i="26"/>
  <c r="N17" i="26"/>
  <c r="G18" i="26"/>
  <c r="H18" i="26"/>
  <c r="I18" i="26"/>
  <c r="J18" i="26"/>
  <c r="K18" i="26"/>
  <c r="L18" i="26"/>
  <c r="M18" i="26"/>
  <c r="N18" i="26"/>
  <c r="G19" i="26"/>
  <c r="H19" i="26"/>
  <c r="I19" i="26"/>
  <c r="J19" i="26"/>
  <c r="K19" i="26"/>
  <c r="L19" i="26"/>
  <c r="M19" i="26"/>
  <c r="N19" i="26"/>
  <c r="G20" i="26"/>
  <c r="H20" i="26"/>
  <c r="I20" i="26"/>
  <c r="J20" i="26"/>
  <c r="K20" i="26"/>
  <c r="L20" i="26"/>
  <c r="M20" i="26"/>
  <c r="N20" i="26"/>
  <c r="G21" i="26"/>
  <c r="H21" i="26"/>
  <c r="I21" i="26"/>
  <c r="J21" i="26"/>
  <c r="K21" i="26"/>
  <c r="L21" i="26"/>
  <c r="M21" i="26"/>
  <c r="N21" i="26"/>
  <c r="G22" i="26"/>
  <c r="H22" i="26"/>
  <c r="I22" i="26"/>
  <c r="J22" i="26"/>
  <c r="K22" i="26"/>
  <c r="L22" i="26"/>
  <c r="M22" i="26"/>
  <c r="N22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BD16" i="26"/>
  <c r="BE16" i="26"/>
  <c r="BF16" i="26"/>
  <c r="BG16" i="26"/>
  <c r="BH16" i="26"/>
  <c r="BI16" i="26"/>
  <c r="BJ16" i="26"/>
  <c r="BK16" i="26"/>
  <c r="BL16" i="26"/>
  <c r="BM16" i="26"/>
  <c r="BN16" i="26"/>
  <c r="BO16" i="26"/>
  <c r="BP16" i="26"/>
  <c r="BQ16" i="26"/>
  <c r="BR16" i="26"/>
  <c r="BS16" i="26"/>
  <c r="BT16" i="26"/>
  <c r="BU16" i="26"/>
  <c r="BV16" i="26"/>
  <c r="BW16" i="26"/>
  <c r="BX16" i="26"/>
  <c r="BY16" i="26"/>
  <c r="BZ16" i="26"/>
  <c r="CA16" i="26"/>
  <c r="CB16" i="26"/>
  <c r="CC16" i="26"/>
  <c r="CD16" i="26"/>
  <c r="CE16" i="26"/>
  <c r="CF16" i="26"/>
  <c r="CG16" i="26"/>
  <c r="CH16" i="26"/>
  <c r="CI16" i="26"/>
  <c r="CJ16" i="26"/>
  <c r="CK16" i="26"/>
  <c r="CL16" i="26"/>
  <c r="CM16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BD17" i="26"/>
  <c r="BE17" i="26"/>
  <c r="BF17" i="26"/>
  <c r="BG17" i="26"/>
  <c r="BH17" i="26"/>
  <c r="BI17" i="26"/>
  <c r="BJ17" i="26"/>
  <c r="BK17" i="26"/>
  <c r="BL17" i="26"/>
  <c r="BM17" i="26"/>
  <c r="BN17" i="26"/>
  <c r="BO17" i="26"/>
  <c r="BP17" i="26"/>
  <c r="BQ17" i="26"/>
  <c r="BR17" i="26"/>
  <c r="BS17" i="26"/>
  <c r="BT17" i="26"/>
  <c r="BU17" i="26"/>
  <c r="BV17" i="26"/>
  <c r="BW17" i="26"/>
  <c r="BX17" i="26"/>
  <c r="BY17" i="26"/>
  <c r="BZ17" i="26"/>
  <c r="CA17" i="26"/>
  <c r="CB17" i="26"/>
  <c r="CC17" i="26"/>
  <c r="CD17" i="26"/>
  <c r="CE17" i="26"/>
  <c r="CF17" i="26"/>
  <c r="CG17" i="26"/>
  <c r="CH17" i="26"/>
  <c r="CI17" i="26"/>
  <c r="CJ17" i="26"/>
  <c r="CK17" i="26"/>
  <c r="CL17" i="26"/>
  <c r="CM17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BD18" i="26"/>
  <c r="BE18" i="26"/>
  <c r="BF18" i="26"/>
  <c r="BG18" i="26"/>
  <c r="BH18" i="26"/>
  <c r="BI18" i="26"/>
  <c r="BJ18" i="26"/>
  <c r="BK18" i="26"/>
  <c r="BL18" i="26"/>
  <c r="BM18" i="26"/>
  <c r="BN18" i="26"/>
  <c r="BO18" i="26"/>
  <c r="BP18" i="26"/>
  <c r="BQ18" i="26"/>
  <c r="BR18" i="26"/>
  <c r="BS18" i="26"/>
  <c r="BT18" i="26"/>
  <c r="BU18" i="26"/>
  <c r="BV18" i="26"/>
  <c r="BW18" i="26"/>
  <c r="BX18" i="26"/>
  <c r="BY18" i="26"/>
  <c r="BZ18" i="26"/>
  <c r="CA18" i="26"/>
  <c r="CB18" i="26"/>
  <c r="CC18" i="26"/>
  <c r="CD18" i="26"/>
  <c r="CE18" i="26"/>
  <c r="CF18" i="26"/>
  <c r="CG18" i="26"/>
  <c r="CH18" i="26"/>
  <c r="CI18" i="26"/>
  <c r="CJ18" i="26"/>
  <c r="CK18" i="26"/>
  <c r="CL18" i="26"/>
  <c r="CM18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BD19" i="26"/>
  <c r="BE19" i="26"/>
  <c r="BF19" i="26"/>
  <c r="BG19" i="26"/>
  <c r="BH19" i="26"/>
  <c r="BI19" i="26"/>
  <c r="BJ19" i="26"/>
  <c r="BK19" i="26"/>
  <c r="BL19" i="26"/>
  <c r="BM19" i="26"/>
  <c r="BN19" i="26"/>
  <c r="BO19" i="26"/>
  <c r="BP19" i="26"/>
  <c r="BQ19" i="26"/>
  <c r="BR19" i="26"/>
  <c r="BS19" i="26"/>
  <c r="BT19" i="26"/>
  <c r="BU19" i="26"/>
  <c r="BV19" i="26"/>
  <c r="BW19" i="26"/>
  <c r="BX19" i="26"/>
  <c r="BY19" i="26"/>
  <c r="BZ19" i="26"/>
  <c r="CA19" i="26"/>
  <c r="CB19" i="26"/>
  <c r="CC19" i="26"/>
  <c r="CD19" i="26"/>
  <c r="CE19" i="26"/>
  <c r="CF19" i="26"/>
  <c r="CG19" i="26"/>
  <c r="CH19" i="26"/>
  <c r="CI19" i="26"/>
  <c r="CJ19" i="26"/>
  <c r="CK19" i="26"/>
  <c r="CL19" i="26"/>
  <c r="CM19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BD20" i="26"/>
  <c r="BE20" i="26"/>
  <c r="BF20" i="26"/>
  <c r="BG20" i="26"/>
  <c r="BH20" i="26"/>
  <c r="BI20" i="26"/>
  <c r="BJ20" i="26"/>
  <c r="BK20" i="26"/>
  <c r="BL20" i="26"/>
  <c r="BM20" i="26"/>
  <c r="BN20" i="26"/>
  <c r="BO20" i="26"/>
  <c r="BP20" i="26"/>
  <c r="BQ20" i="26"/>
  <c r="BR20" i="26"/>
  <c r="BS20" i="26"/>
  <c r="BT20" i="26"/>
  <c r="BU20" i="26"/>
  <c r="BV20" i="26"/>
  <c r="BW20" i="26"/>
  <c r="BX20" i="26"/>
  <c r="BY20" i="26"/>
  <c r="BZ20" i="26"/>
  <c r="CA20" i="26"/>
  <c r="CB20" i="26"/>
  <c r="CC20" i="26"/>
  <c r="CD20" i="26"/>
  <c r="CE20" i="26"/>
  <c r="CF20" i="26"/>
  <c r="CG20" i="26"/>
  <c r="CH20" i="26"/>
  <c r="CI20" i="26"/>
  <c r="CJ20" i="26"/>
  <c r="CK20" i="26"/>
  <c r="CL20" i="26"/>
  <c r="CM20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BD21" i="26"/>
  <c r="BE21" i="26"/>
  <c r="BF21" i="26"/>
  <c r="BG21" i="26"/>
  <c r="BH21" i="26"/>
  <c r="BI21" i="26"/>
  <c r="BJ21" i="26"/>
  <c r="BK21" i="26"/>
  <c r="BL21" i="26"/>
  <c r="BM21" i="26"/>
  <c r="BN21" i="26"/>
  <c r="BO21" i="26"/>
  <c r="BP21" i="26"/>
  <c r="BQ21" i="26"/>
  <c r="BR21" i="26"/>
  <c r="BS21" i="26"/>
  <c r="BT21" i="26"/>
  <c r="BU21" i="26"/>
  <c r="BV21" i="26"/>
  <c r="BW21" i="26"/>
  <c r="BX21" i="26"/>
  <c r="BY21" i="26"/>
  <c r="BZ21" i="26"/>
  <c r="CA21" i="26"/>
  <c r="CB21" i="26"/>
  <c r="CC21" i="26"/>
  <c r="CD21" i="26"/>
  <c r="CE21" i="26"/>
  <c r="CF21" i="26"/>
  <c r="CG21" i="26"/>
  <c r="CH21" i="26"/>
  <c r="CI21" i="26"/>
  <c r="CJ21" i="26"/>
  <c r="CK21" i="26"/>
  <c r="CL21" i="26"/>
  <c r="CM21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BD22" i="26"/>
  <c r="BE22" i="26"/>
  <c r="BF22" i="26"/>
  <c r="BG22" i="26"/>
  <c r="BH22" i="26"/>
  <c r="BI22" i="26"/>
  <c r="BJ22" i="26"/>
  <c r="BK22" i="26"/>
  <c r="BL22" i="26"/>
  <c r="BM22" i="26"/>
  <c r="BN22" i="26"/>
  <c r="BO22" i="26"/>
  <c r="BP22" i="26"/>
  <c r="BQ22" i="26"/>
  <c r="BR22" i="26"/>
  <c r="BS22" i="26"/>
  <c r="BT22" i="26"/>
  <c r="BU22" i="26"/>
  <c r="BV22" i="26"/>
  <c r="BW22" i="26"/>
  <c r="BX22" i="26"/>
  <c r="BY22" i="26"/>
  <c r="BZ22" i="26"/>
  <c r="CA22" i="26"/>
  <c r="CB22" i="26"/>
  <c r="CC22" i="26"/>
  <c r="CD22" i="26"/>
  <c r="CE22" i="26"/>
  <c r="CF22" i="26"/>
  <c r="CG22" i="26"/>
  <c r="CH22" i="26"/>
  <c r="CI22" i="26"/>
  <c r="CJ22" i="26"/>
  <c r="CK22" i="26"/>
  <c r="CL22" i="26"/>
  <c r="CM22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BD15" i="26"/>
  <c r="BE15" i="26"/>
  <c r="BF15" i="26"/>
  <c r="BG15" i="26"/>
  <c r="BH15" i="26"/>
  <c r="BI15" i="26"/>
  <c r="BJ15" i="26"/>
  <c r="BK15" i="26"/>
  <c r="BL15" i="26"/>
  <c r="BM15" i="26"/>
  <c r="BN15" i="26"/>
  <c r="BO15" i="26"/>
  <c r="BP15" i="26"/>
  <c r="BQ15" i="26"/>
  <c r="BR15" i="26"/>
  <c r="BS15" i="26"/>
  <c r="BT15" i="26"/>
  <c r="BU15" i="26"/>
  <c r="BV15" i="26"/>
  <c r="BW15" i="26"/>
  <c r="BX15" i="26"/>
  <c r="BY15" i="26"/>
  <c r="BZ15" i="26"/>
  <c r="CA15" i="26"/>
  <c r="CB15" i="26"/>
  <c r="CC15" i="26"/>
  <c r="CD15" i="26"/>
  <c r="CE15" i="26"/>
  <c r="CF15" i="26"/>
  <c r="CG15" i="26"/>
  <c r="CH15" i="26"/>
  <c r="CI15" i="26"/>
  <c r="CJ15" i="26"/>
  <c r="CK15" i="26"/>
  <c r="CL15" i="26"/>
  <c r="CM15" i="26"/>
  <c r="C18" i="26"/>
  <c r="B16" i="26"/>
  <c r="C16" i="26"/>
  <c r="D16" i="26"/>
  <c r="E16" i="26"/>
  <c r="F16" i="26"/>
  <c r="B17" i="26"/>
  <c r="C17" i="26"/>
  <c r="D17" i="26"/>
  <c r="E17" i="26"/>
  <c r="F17" i="26"/>
  <c r="B18" i="26"/>
  <c r="D18" i="26"/>
  <c r="E18" i="26"/>
  <c r="F18" i="26"/>
  <c r="B19" i="26"/>
  <c r="C19" i="26"/>
  <c r="D19" i="26"/>
  <c r="E19" i="26"/>
  <c r="F19" i="26"/>
  <c r="B20" i="26"/>
  <c r="C20" i="26"/>
  <c r="D20" i="26"/>
  <c r="E20" i="26"/>
  <c r="F20" i="26"/>
  <c r="B21" i="26"/>
  <c r="C21" i="26"/>
  <c r="D21" i="26"/>
  <c r="E21" i="26"/>
  <c r="F21" i="26"/>
  <c r="B22" i="26"/>
  <c r="C22" i="26"/>
  <c r="D22" i="26"/>
  <c r="E22" i="26"/>
  <c r="F22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B15" i="26"/>
  <c r="A16" i="26"/>
  <c r="A17" i="26"/>
  <c r="A18" i="26"/>
  <c r="A19" i="26"/>
  <c r="A20" i="26"/>
  <c r="A21" i="26"/>
  <c r="A22" i="26"/>
  <c r="A15" i="26"/>
  <c r="CO2" i="26"/>
  <c r="CP2" i="26"/>
  <c r="CQ2" i="26"/>
  <c r="CR2" i="26"/>
  <c r="CS2" i="26"/>
  <c r="CT2" i="26"/>
  <c r="CU2" i="26"/>
  <c r="CV2" i="26"/>
  <c r="CW2" i="26"/>
  <c r="CX2" i="26"/>
  <c r="CY2" i="26"/>
  <c r="CZ2" i="26"/>
  <c r="DA2" i="26"/>
  <c r="DB2" i="26"/>
  <c r="DC2" i="26"/>
  <c r="DD2" i="26"/>
  <c r="DE2" i="26"/>
  <c r="CO3" i="26"/>
  <c r="CO16" i="26" s="1"/>
  <c r="CO26" i="26" s="1"/>
  <c r="CP3" i="26"/>
  <c r="CP19" i="26" s="1"/>
  <c r="CP29" i="26" s="1"/>
  <c r="CQ3" i="26"/>
  <c r="CQ18" i="26" s="1"/>
  <c r="CQ28" i="26" s="1"/>
  <c r="CR3" i="26"/>
  <c r="CR17" i="26" s="1"/>
  <c r="CR27" i="26" s="1"/>
  <c r="CS3" i="26"/>
  <c r="CS16" i="26" s="1"/>
  <c r="CS26" i="26" s="1"/>
  <c r="CT3" i="26"/>
  <c r="CT19" i="26" s="1"/>
  <c r="CT29" i="26" s="1"/>
  <c r="CU3" i="26"/>
  <c r="CU18" i="26" s="1"/>
  <c r="CU28" i="26" s="1"/>
  <c r="CV3" i="26"/>
  <c r="CV17" i="26" s="1"/>
  <c r="CV27" i="26" s="1"/>
  <c r="CW3" i="26"/>
  <c r="CW16" i="26" s="1"/>
  <c r="CW26" i="26" s="1"/>
  <c r="CX3" i="26"/>
  <c r="CX19" i="26" s="1"/>
  <c r="CX29" i="26" s="1"/>
  <c r="CY3" i="26"/>
  <c r="CY18" i="26" s="1"/>
  <c r="CY28" i="26" s="1"/>
  <c r="CZ3" i="26"/>
  <c r="CZ17" i="26" s="1"/>
  <c r="CZ27" i="26" s="1"/>
  <c r="DA3" i="26"/>
  <c r="DA16" i="26" s="1"/>
  <c r="DA26" i="26" s="1"/>
  <c r="DB3" i="26"/>
  <c r="DB19" i="26" s="1"/>
  <c r="DB29" i="26" s="1"/>
  <c r="DC3" i="26"/>
  <c r="DC18" i="26" s="1"/>
  <c r="DC28" i="26" s="1"/>
  <c r="DD3" i="26"/>
  <c r="DD17" i="26" s="1"/>
  <c r="DD27" i="26" s="1"/>
  <c r="DE3" i="26"/>
  <c r="DE16" i="26" s="1"/>
  <c r="DE26" i="26" s="1"/>
  <c r="CO4" i="26"/>
  <c r="CP4" i="26"/>
  <c r="CQ4" i="26"/>
  <c r="CR4" i="26"/>
  <c r="CS4" i="26"/>
  <c r="CT4" i="26"/>
  <c r="CU4" i="26"/>
  <c r="CV4" i="26"/>
  <c r="CW4" i="26"/>
  <c r="CX4" i="26"/>
  <c r="CY4" i="26"/>
  <c r="CZ4" i="26"/>
  <c r="DA4" i="26"/>
  <c r="DB4" i="26"/>
  <c r="DC4" i="26"/>
  <c r="DD4" i="26"/>
  <c r="DE4" i="26"/>
  <c r="CO5" i="26"/>
  <c r="CP5" i="26"/>
  <c r="CQ5" i="26"/>
  <c r="CR5" i="26"/>
  <c r="CS5" i="26"/>
  <c r="CT5" i="26"/>
  <c r="CU5" i="26"/>
  <c r="CV5" i="26"/>
  <c r="CW5" i="26"/>
  <c r="CX5" i="26"/>
  <c r="CY5" i="26"/>
  <c r="CZ5" i="26"/>
  <c r="DA5" i="26"/>
  <c r="DB5" i="26"/>
  <c r="DC5" i="26"/>
  <c r="DD5" i="26"/>
  <c r="DE5" i="26"/>
  <c r="CO6" i="26"/>
  <c r="CP6" i="26"/>
  <c r="CQ6" i="26"/>
  <c r="CR6" i="26"/>
  <c r="CS6" i="26"/>
  <c r="CT6" i="26"/>
  <c r="CU6" i="26"/>
  <c r="CV6" i="26"/>
  <c r="CW6" i="26"/>
  <c r="CX6" i="26"/>
  <c r="CY6" i="26"/>
  <c r="CZ6" i="26"/>
  <c r="DA6" i="26"/>
  <c r="DB6" i="26"/>
  <c r="DC6" i="26"/>
  <c r="DD6" i="26"/>
  <c r="DE6" i="26"/>
  <c r="CO7" i="26"/>
  <c r="CP7" i="26"/>
  <c r="CQ7" i="26"/>
  <c r="CR7" i="26"/>
  <c r="CS7" i="26"/>
  <c r="CT7" i="26"/>
  <c r="CU7" i="26"/>
  <c r="CV7" i="26"/>
  <c r="CW7" i="26"/>
  <c r="CX7" i="26"/>
  <c r="CY7" i="26"/>
  <c r="CZ7" i="26"/>
  <c r="DA7" i="26"/>
  <c r="DB7" i="26"/>
  <c r="DC7" i="26"/>
  <c r="DD7" i="26"/>
  <c r="DE7" i="26"/>
  <c r="CO8" i="26"/>
  <c r="CP8" i="26"/>
  <c r="CQ8" i="26"/>
  <c r="CR8" i="26"/>
  <c r="CS8" i="26"/>
  <c r="CT8" i="26"/>
  <c r="CU8" i="26"/>
  <c r="CV8" i="26"/>
  <c r="CW8" i="26"/>
  <c r="CX8" i="26"/>
  <c r="CY8" i="26"/>
  <c r="CZ8" i="26"/>
  <c r="DA8" i="26"/>
  <c r="DB8" i="26"/>
  <c r="DC8" i="26"/>
  <c r="DD8" i="26"/>
  <c r="DE8" i="26"/>
  <c r="CO9" i="26"/>
  <c r="CP9" i="26"/>
  <c r="CQ9" i="26"/>
  <c r="CR9" i="26"/>
  <c r="CS9" i="26"/>
  <c r="CT9" i="26"/>
  <c r="CU9" i="26"/>
  <c r="CV9" i="26"/>
  <c r="CW9" i="26"/>
  <c r="CX9" i="26"/>
  <c r="CY9" i="26"/>
  <c r="CZ9" i="26"/>
  <c r="DA9" i="26"/>
  <c r="DB9" i="26"/>
  <c r="DC9" i="26"/>
  <c r="DD9" i="26"/>
  <c r="DE9" i="26"/>
  <c r="CO10" i="26"/>
  <c r="CP10" i="26"/>
  <c r="CQ10" i="26"/>
  <c r="CR10" i="26"/>
  <c r="CS10" i="26"/>
  <c r="CT10" i="26"/>
  <c r="CU10" i="26"/>
  <c r="CV10" i="26"/>
  <c r="CW10" i="26"/>
  <c r="CX10" i="26"/>
  <c r="CY10" i="26"/>
  <c r="CZ10" i="26"/>
  <c r="DA10" i="26"/>
  <c r="DB10" i="26"/>
  <c r="DC10" i="26"/>
  <c r="DD10" i="26"/>
  <c r="DE10" i="26"/>
  <c r="CO11" i="26"/>
  <c r="CP11" i="26"/>
  <c r="CQ11" i="26"/>
  <c r="CR11" i="26"/>
  <c r="CS11" i="26"/>
  <c r="CT11" i="26"/>
  <c r="CU11" i="26"/>
  <c r="CV11" i="26"/>
  <c r="CW11" i="26"/>
  <c r="CX11" i="26"/>
  <c r="CY11" i="26"/>
  <c r="CZ11" i="26"/>
  <c r="DA11" i="26"/>
  <c r="DB11" i="26"/>
  <c r="DC11" i="26"/>
  <c r="DD11" i="26"/>
  <c r="DE11" i="26"/>
  <c r="CO12" i="26"/>
  <c r="CP12" i="26"/>
  <c r="CQ12" i="26"/>
  <c r="CR12" i="26"/>
  <c r="CS12" i="26"/>
  <c r="CT12" i="26"/>
  <c r="CU12" i="26"/>
  <c r="CV12" i="26"/>
  <c r="CW12" i="26"/>
  <c r="CX12" i="26"/>
  <c r="CY12" i="26"/>
  <c r="CZ12" i="26"/>
  <c r="DA12" i="26"/>
  <c r="DB12" i="26"/>
  <c r="DC12" i="26"/>
  <c r="DD12" i="26"/>
  <c r="DE12" i="26"/>
  <c r="CN3" i="26"/>
  <c r="CN17" i="26" s="1"/>
  <c r="CN27" i="26" s="1"/>
  <c r="CN4" i="26"/>
  <c r="CN5" i="26"/>
  <c r="CN6" i="26"/>
  <c r="CN7" i="26"/>
  <c r="CN8" i="26"/>
  <c r="CN9" i="26"/>
  <c r="CN10" i="26"/>
  <c r="CN11" i="26"/>
  <c r="CN12" i="26"/>
  <c r="CN2" i="26"/>
  <c r="CL2" i="26"/>
  <c r="CM2" i="26"/>
  <c r="CL3" i="26"/>
  <c r="CM3" i="26"/>
  <c r="CL4" i="26"/>
  <c r="CM4" i="26"/>
  <c r="CL5" i="26"/>
  <c r="CM5" i="26"/>
  <c r="CL6" i="26"/>
  <c r="CM6" i="26"/>
  <c r="CL7" i="26"/>
  <c r="CM7" i="26"/>
  <c r="CL8" i="26"/>
  <c r="CM8" i="26"/>
  <c r="CL9" i="26"/>
  <c r="CM9" i="26"/>
  <c r="CL10" i="26"/>
  <c r="CM10" i="26"/>
  <c r="CL11" i="26"/>
  <c r="CM11" i="26"/>
  <c r="CL12" i="26"/>
  <c r="CM12" i="26"/>
  <c r="BW2" i="26"/>
  <c r="BX2" i="26"/>
  <c r="BY2" i="26"/>
  <c r="BZ2" i="26"/>
  <c r="CA2" i="26"/>
  <c r="CB2" i="26"/>
  <c r="CC2" i="26"/>
  <c r="CD2" i="26"/>
  <c r="CE2" i="26"/>
  <c r="CF2" i="26"/>
  <c r="CG2" i="26"/>
  <c r="CH2" i="26"/>
  <c r="CI2" i="26"/>
  <c r="CJ2" i="26"/>
  <c r="CK2" i="26"/>
  <c r="BW3" i="26"/>
  <c r="BX3" i="26"/>
  <c r="BY3" i="26"/>
  <c r="BZ3" i="26"/>
  <c r="CA3" i="26"/>
  <c r="CB3" i="26"/>
  <c r="CC3" i="26"/>
  <c r="CD3" i="26"/>
  <c r="CE3" i="26"/>
  <c r="CF3" i="26"/>
  <c r="CG3" i="26"/>
  <c r="CH3" i="26"/>
  <c r="CI3" i="26"/>
  <c r="CJ3" i="26"/>
  <c r="CK3" i="26"/>
  <c r="BW4" i="26"/>
  <c r="BX4" i="26"/>
  <c r="BY4" i="26"/>
  <c r="BZ4" i="26"/>
  <c r="CA4" i="26"/>
  <c r="CB4" i="26"/>
  <c r="CC4" i="26"/>
  <c r="CD4" i="26"/>
  <c r="CE4" i="26"/>
  <c r="CF4" i="26"/>
  <c r="CG4" i="26"/>
  <c r="CH4" i="26"/>
  <c r="CI4" i="26"/>
  <c r="CJ4" i="26"/>
  <c r="CK4" i="26"/>
  <c r="BW5" i="26"/>
  <c r="BX5" i="26"/>
  <c r="BY5" i="26"/>
  <c r="BZ5" i="26"/>
  <c r="CA5" i="26"/>
  <c r="CB5" i="26"/>
  <c r="CC5" i="26"/>
  <c r="CD5" i="26"/>
  <c r="CE5" i="26"/>
  <c r="CF5" i="26"/>
  <c r="CG5" i="26"/>
  <c r="CH5" i="26"/>
  <c r="CI5" i="26"/>
  <c r="CJ5" i="26"/>
  <c r="CK5" i="26"/>
  <c r="BW6" i="26"/>
  <c r="BX6" i="26"/>
  <c r="BY6" i="26"/>
  <c r="BZ6" i="26"/>
  <c r="CA6" i="26"/>
  <c r="CB6" i="26"/>
  <c r="CC6" i="26"/>
  <c r="CD6" i="26"/>
  <c r="CE6" i="26"/>
  <c r="CF6" i="26"/>
  <c r="CG6" i="26"/>
  <c r="CH6" i="26"/>
  <c r="CI6" i="26"/>
  <c r="CJ6" i="26"/>
  <c r="CK6" i="26"/>
  <c r="BW7" i="26"/>
  <c r="BX7" i="26"/>
  <c r="BY7" i="26"/>
  <c r="BZ7" i="26"/>
  <c r="CA7" i="26"/>
  <c r="CB7" i="26"/>
  <c r="CC7" i="26"/>
  <c r="CD7" i="26"/>
  <c r="CE7" i="26"/>
  <c r="CF7" i="26"/>
  <c r="CG7" i="26"/>
  <c r="CH7" i="26"/>
  <c r="CI7" i="26"/>
  <c r="CJ7" i="26"/>
  <c r="CK7" i="26"/>
  <c r="BW8" i="26"/>
  <c r="BX8" i="26"/>
  <c r="BY8" i="26"/>
  <c r="BZ8" i="26"/>
  <c r="CA8" i="26"/>
  <c r="CB8" i="26"/>
  <c r="CC8" i="26"/>
  <c r="CD8" i="26"/>
  <c r="CE8" i="26"/>
  <c r="CF8" i="26"/>
  <c r="CG8" i="26"/>
  <c r="CH8" i="26"/>
  <c r="CI8" i="26"/>
  <c r="CJ8" i="26"/>
  <c r="CK8" i="26"/>
  <c r="BW9" i="26"/>
  <c r="BX9" i="26"/>
  <c r="BY9" i="26"/>
  <c r="BZ9" i="26"/>
  <c r="CA9" i="26"/>
  <c r="CB9" i="26"/>
  <c r="CC9" i="26"/>
  <c r="CD9" i="26"/>
  <c r="CE9" i="26"/>
  <c r="CF9" i="26"/>
  <c r="CG9" i="26"/>
  <c r="CH9" i="26"/>
  <c r="CI9" i="26"/>
  <c r="CJ9" i="26"/>
  <c r="CK9" i="26"/>
  <c r="BW10" i="26"/>
  <c r="BX10" i="26"/>
  <c r="BY10" i="26"/>
  <c r="BZ10" i="26"/>
  <c r="CA10" i="26"/>
  <c r="CB10" i="26"/>
  <c r="CC10" i="26"/>
  <c r="CD10" i="26"/>
  <c r="CE10" i="26"/>
  <c r="CF10" i="26"/>
  <c r="CG10" i="26"/>
  <c r="CH10" i="26"/>
  <c r="CI10" i="26"/>
  <c r="CJ10" i="26"/>
  <c r="CK10" i="26"/>
  <c r="BW11" i="26"/>
  <c r="BX11" i="26"/>
  <c r="BY11" i="26"/>
  <c r="BZ11" i="26"/>
  <c r="CA11" i="26"/>
  <c r="CB11" i="26"/>
  <c r="CC11" i="26"/>
  <c r="CD11" i="26"/>
  <c r="CE11" i="26"/>
  <c r="CF11" i="26"/>
  <c r="CG11" i="26"/>
  <c r="CH11" i="26"/>
  <c r="CI11" i="26"/>
  <c r="CJ11" i="26"/>
  <c r="CK11" i="26"/>
  <c r="BW12" i="26"/>
  <c r="BX12" i="26"/>
  <c r="BY12" i="26"/>
  <c r="BZ12" i="26"/>
  <c r="CA12" i="26"/>
  <c r="CB12" i="26"/>
  <c r="CC12" i="26"/>
  <c r="CD12" i="26"/>
  <c r="CE12" i="26"/>
  <c r="CF12" i="26"/>
  <c r="CG12" i="26"/>
  <c r="CH12" i="26"/>
  <c r="CI12" i="26"/>
  <c r="CJ12" i="26"/>
  <c r="CK12" i="26"/>
  <c r="BV3" i="26"/>
  <c r="BV4" i="26"/>
  <c r="BV5" i="26"/>
  <c r="BV6" i="26"/>
  <c r="BV7" i="26"/>
  <c r="BV8" i="26"/>
  <c r="BV9" i="26"/>
  <c r="BV10" i="26"/>
  <c r="BV11" i="26"/>
  <c r="BV12" i="26"/>
  <c r="BV2" i="26"/>
  <c r="BE2" i="26"/>
  <c r="BF2" i="26"/>
  <c r="BG2" i="26"/>
  <c r="BH2" i="26"/>
  <c r="BI2" i="26"/>
  <c r="BJ2" i="26"/>
  <c r="BK2" i="26"/>
  <c r="BL2" i="26"/>
  <c r="BM2" i="26"/>
  <c r="BN2" i="26"/>
  <c r="BO2" i="26"/>
  <c r="BP2" i="26"/>
  <c r="BQ2" i="26"/>
  <c r="BR2" i="26"/>
  <c r="BS2" i="26"/>
  <c r="BT2" i="26"/>
  <c r="BU2" i="26"/>
  <c r="BE3" i="26"/>
  <c r="BF3" i="26"/>
  <c r="BG3" i="26"/>
  <c r="BH3" i="26"/>
  <c r="BI3" i="26"/>
  <c r="BJ3" i="26"/>
  <c r="BK3" i="26"/>
  <c r="BL3" i="26"/>
  <c r="BM3" i="26"/>
  <c r="BN3" i="26"/>
  <c r="BO3" i="26"/>
  <c r="BP3" i="26"/>
  <c r="BQ3" i="26"/>
  <c r="BR3" i="26"/>
  <c r="BS3" i="26"/>
  <c r="BT3" i="26"/>
  <c r="BU3" i="26"/>
  <c r="BE4" i="26"/>
  <c r="BF4" i="26"/>
  <c r="BG4" i="26"/>
  <c r="BH4" i="26"/>
  <c r="BI4" i="26"/>
  <c r="BJ4" i="26"/>
  <c r="BK4" i="26"/>
  <c r="BL4" i="26"/>
  <c r="BM4" i="26"/>
  <c r="BN4" i="26"/>
  <c r="BO4" i="26"/>
  <c r="BP4" i="26"/>
  <c r="BQ4" i="26"/>
  <c r="BR4" i="26"/>
  <c r="BS4" i="26"/>
  <c r="BT4" i="26"/>
  <c r="BU4" i="26"/>
  <c r="BE5" i="26"/>
  <c r="BF5" i="26"/>
  <c r="BG5" i="26"/>
  <c r="BH5" i="26"/>
  <c r="BI5" i="26"/>
  <c r="BJ5" i="26"/>
  <c r="BK5" i="26"/>
  <c r="BL5" i="26"/>
  <c r="BM5" i="26"/>
  <c r="BN5" i="26"/>
  <c r="BO5" i="26"/>
  <c r="BP5" i="26"/>
  <c r="BQ5" i="26"/>
  <c r="BR5" i="26"/>
  <c r="BS5" i="26"/>
  <c r="BT5" i="26"/>
  <c r="BU5" i="26"/>
  <c r="BE6" i="26"/>
  <c r="BF6" i="26"/>
  <c r="BG6" i="26"/>
  <c r="BH6" i="26"/>
  <c r="BI6" i="26"/>
  <c r="BJ6" i="26"/>
  <c r="BK6" i="26"/>
  <c r="BL6" i="26"/>
  <c r="BM6" i="26"/>
  <c r="BN6" i="26"/>
  <c r="BO6" i="26"/>
  <c r="BP6" i="26"/>
  <c r="BQ6" i="26"/>
  <c r="BR6" i="26"/>
  <c r="BS6" i="26"/>
  <c r="BT6" i="26"/>
  <c r="BU6" i="26"/>
  <c r="BE7" i="26"/>
  <c r="BF7" i="26"/>
  <c r="BG7" i="26"/>
  <c r="BH7" i="26"/>
  <c r="BI7" i="26"/>
  <c r="BJ7" i="26"/>
  <c r="BK7" i="26"/>
  <c r="BL7" i="26"/>
  <c r="BM7" i="26"/>
  <c r="BN7" i="26"/>
  <c r="BO7" i="26"/>
  <c r="BP7" i="26"/>
  <c r="BQ7" i="26"/>
  <c r="BR7" i="26"/>
  <c r="BS7" i="26"/>
  <c r="BT7" i="26"/>
  <c r="BU7" i="26"/>
  <c r="BE8" i="26"/>
  <c r="BF8" i="26"/>
  <c r="BG8" i="26"/>
  <c r="BH8" i="26"/>
  <c r="BI8" i="26"/>
  <c r="BJ8" i="26"/>
  <c r="BK8" i="26"/>
  <c r="BL8" i="26"/>
  <c r="BM8" i="26"/>
  <c r="BN8" i="26"/>
  <c r="BO8" i="26"/>
  <c r="BP8" i="26"/>
  <c r="BQ8" i="26"/>
  <c r="BR8" i="26"/>
  <c r="BS8" i="26"/>
  <c r="BT8" i="26"/>
  <c r="BU8" i="26"/>
  <c r="BE9" i="26"/>
  <c r="BF9" i="26"/>
  <c r="BG9" i="26"/>
  <c r="BH9" i="26"/>
  <c r="BI9" i="26"/>
  <c r="BJ9" i="26"/>
  <c r="BK9" i="26"/>
  <c r="BL9" i="26"/>
  <c r="BM9" i="26"/>
  <c r="BN9" i="26"/>
  <c r="BO9" i="26"/>
  <c r="BP9" i="26"/>
  <c r="BQ9" i="26"/>
  <c r="BR9" i="26"/>
  <c r="BS9" i="26"/>
  <c r="BT9" i="26"/>
  <c r="BU9" i="26"/>
  <c r="BE10" i="26"/>
  <c r="BF10" i="26"/>
  <c r="BG10" i="26"/>
  <c r="BH10" i="26"/>
  <c r="BI10" i="26"/>
  <c r="BJ10" i="26"/>
  <c r="BK10" i="26"/>
  <c r="BL10" i="26"/>
  <c r="BM10" i="26"/>
  <c r="BN10" i="26"/>
  <c r="BO10" i="26"/>
  <c r="BP10" i="26"/>
  <c r="BQ10" i="26"/>
  <c r="BR10" i="26"/>
  <c r="BS10" i="26"/>
  <c r="BT10" i="26"/>
  <c r="BU10" i="26"/>
  <c r="BE11" i="26"/>
  <c r="BF11" i="26"/>
  <c r="BG11" i="26"/>
  <c r="BH11" i="26"/>
  <c r="BI11" i="26"/>
  <c r="BJ11" i="26"/>
  <c r="BK11" i="26"/>
  <c r="BL11" i="26"/>
  <c r="BM11" i="26"/>
  <c r="BN11" i="26"/>
  <c r="BO11" i="26"/>
  <c r="BP11" i="26"/>
  <c r="BQ11" i="26"/>
  <c r="BR11" i="26"/>
  <c r="BS11" i="26"/>
  <c r="BT11" i="26"/>
  <c r="BU11" i="26"/>
  <c r="BE12" i="26"/>
  <c r="BF12" i="26"/>
  <c r="BG12" i="26"/>
  <c r="BH12" i="26"/>
  <c r="BI12" i="26"/>
  <c r="BJ12" i="26"/>
  <c r="BK12" i="26"/>
  <c r="BL12" i="26"/>
  <c r="BM12" i="26"/>
  <c r="BN12" i="26"/>
  <c r="BO12" i="26"/>
  <c r="BP12" i="26"/>
  <c r="BQ12" i="26"/>
  <c r="BR12" i="26"/>
  <c r="BS12" i="26"/>
  <c r="BT12" i="26"/>
  <c r="BU12" i="26"/>
  <c r="BD3" i="26"/>
  <c r="BD4" i="26"/>
  <c r="BD5" i="26"/>
  <c r="BD6" i="26"/>
  <c r="BD7" i="26"/>
  <c r="BD8" i="26"/>
  <c r="BD9" i="26"/>
  <c r="BD10" i="26"/>
  <c r="BD11" i="26"/>
  <c r="BD12" i="26"/>
  <c r="BD2" i="26"/>
  <c r="AM2" i="26"/>
  <c r="AN2" i="26"/>
  <c r="AO2" i="26"/>
  <c r="AP2" i="26"/>
  <c r="AQ2" i="26"/>
  <c r="AR2" i="26"/>
  <c r="AS2" i="26"/>
  <c r="AT2" i="26"/>
  <c r="AU2" i="26"/>
  <c r="AV2" i="26"/>
  <c r="AW2" i="26"/>
  <c r="AX2" i="26"/>
  <c r="AY2" i="26"/>
  <c r="AZ2" i="26"/>
  <c r="BA2" i="26"/>
  <c r="BB2" i="26"/>
  <c r="BC2" i="26"/>
  <c r="AM3" i="26"/>
  <c r="AN3" i="26"/>
  <c r="AN18" i="26" s="1"/>
  <c r="AN28" i="26" s="1"/>
  <c r="AO3" i="26"/>
  <c r="AP3" i="26"/>
  <c r="AQ3" i="26"/>
  <c r="AR3" i="26"/>
  <c r="AR18" i="26" s="1"/>
  <c r="AR28" i="26" s="1"/>
  <c r="AS3" i="26"/>
  <c r="AT3" i="26"/>
  <c r="AT16" i="26" s="1"/>
  <c r="AT26" i="26" s="1"/>
  <c r="AU3" i="26"/>
  <c r="AU16" i="26" s="1"/>
  <c r="AU26" i="26" s="1"/>
  <c r="AV3" i="26"/>
  <c r="AW3" i="26"/>
  <c r="AX3" i="26"/>
  <c r="AX15" i="26" s="1"/>
  <c r="AX25" i="26" s="1"/>
  <c r="AY3" i="26"/>
  <c r="AY16" i="26" s="1"/>
  <c r="AY26" i="26" s="1"/>
  <c r="AZ3" i="26"/>
  <c r="BA3" i="26"/>
  <c r="BB3" i="26"/>
  <c r="BC3" i="26"/>
  <c r="BC16" i="26" s="1"/>
  <c r="BC26" i="26" s="1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Z4" i="26"/>
  <c r="BA4" i="26"/>
  <c r="BB4" i="26"/>
  <c r="BC4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B5" i="26"/>
  <c r="BC5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B6" i="26"/>
  <c r="BC6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BB7" i="26"/>
  <c r="BC7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Z8" i="26"/>
  <c r="BA8" i="26"/>
  <c r="BB8" i="26"/>
  <c r="BC8" i="26"/>
  <c r="AM9" i="26"/>
  <c r="AN9" i="26"/>
  <c r="AO9" i="26"/>
  <c r="AP9" i="26"/>
  <c r="AQ9" i="26"/>
  <c r="AR9" i="26"/>
  <c r="AS9" i="26"/>
  <c r="AT9" i="26"/>
  <c r="AU9" i="26"/>
  <c r="AV9" i="26"/>
  <c r="AW9" i="26"/>
  <c r="AX9" i="26"/>
  <c r="AY9" i="26"/>
  <c r="AZ9" i="26"/>
  <c r="BA9" i="26"/>
  <c r="BB9" i="26"/>
  <c r="BC9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Z10" i="26"/>
  <c r="BA10" i="26"/>
  <c r="BB10" i="26"/>
  <c r="BC10" i="26"/>
  <c r="AM11" i="26"/>
  <c r="AN11" i="26"/>
  <c r="AO11" i="26"/>
  <c r="AP11" i="26"/>
  <c r="AQ11" i="26"/>
  <c r="AR11" i="26"/>
  <c r="AS11" i="26"/>
  <c r="AT11" i="26"/>
  <c r="AU11" i="26"/>
  <c r="AV11" i="26"/>
  <c r="AW11" i="26"/>
  <c r="AX11" i="26"/>
  <c r="AY11" i="26"/>
  <c r="AZ11" i="26"/>
  <c r="BA11" i="26"/>
  <c r="BB11" i="26"/>
  <c r="BC11" i="26"/>
  <c r="AM12" i="26"/>
  <c r="AN12" i="26"/>
  <c r="AO12" i="26"/>
  <c r="AP12" i="26"/>
  <c r="AQ12" i="26"/>
  <c r="AR12" i="26"/>
  <c r="AS12" i="26"/>
  <c r="AT12" i="26"/>
  <c r="AU12" i="26"/>
  <c r="AV12" i="26"/>
  <c r="AW12" i="26"/>
  <c r="AX12" i="26"/>
  <c r="AY12" i="26"/>
  <c r="AZ12" i="26"/>
  <c r="BA12" i="26"/>
  <c r="BB12" i="26"/>
  <c r="BC12" i="26"/>
  <c r="AL3" i="26"/>
  <c r="AL16" i="26" s="1"/>
  <c r="AL26" i="26" s="1"/>
  <c r="AL4" i="26"/>
  <c r="AL5" i="26"/>
  <c r="AL6" i="26"/>
  <c r="AL7" i="26"/>
  <c r="L37" i="26" s="1"/>
  <c r="AL8" i="26"/>
  <c r="AL9" i="26"/>
  <c r="L39" i="26" s="1"/>
  <c r="AL10" i="26"/>
  <c r="AL11" i="26"/>
  <c r="AL12" i="26"/>
  <c r="AL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T3" i="26"/>
  <c r="T4" i="26"/>
  <c r="T5" i="26"/>
  <c r="T6" i="26"/>
  <c r="T7" i="26"/>
  <c r="T8" i="26"/>
  <c r="T9" i="26"/>
  <c r="T10" i="26"/>
  <c r="T11" i="26"/>
  <c r="T12" i="26"/>
  <c r="T2" i="26"/>
  <c r="C2" i="26"/>
  <c r="D2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B6" i="26"/>
  <c r="B7" i="26"/>
  <c r="B8" i="26"/>
  <c r="B9" i="26"/>
  <c r="B10" i="26"/>
  <c r="B11" i="26"/>
  <c r="B12" i="26"/>
  <c r="B3" i="26"/>
  <c r="B4" i="26"/>
  <c r="B2" i="26"/>
  <c r="B5" i="26"/>
  <c r="A6" i="26"/>
  <c r="A7" i="26"/>
  <c r="A8" i="26"/>
  <c r="A9" i="26"/>
  <c r="A10" i="26"/>
  <c r="A11" i="26"/>
  <c r="A12" i="26"/>
  <c r="A5" i="26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C54" i="11"/>
  <c r="C55" i="11"/>
  <c r="C53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C42" i="11"/>
  <c r="C43" i="11"/>
  <c r="C41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C29" i="11"/>
  <c r="C30" i="11"/>
  <c r="C28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C17" i="11"/>
  <c r="C18" i="11"/>
  <c r="C16" i="11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C53" i="10"/>
  <c r="C54" i="10"/>
  <c r="C52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C41" i="10"/>
  <c r="C42" i="10"/>
  <c r="C40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C29" i="10"/>
  <c r="C30" i="10"/>
  <c r="C28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C17" i="10"/>
  <c r="C18" i="10"/>
  <c r="C16" i="10"/>
  <c r="AB37" i="18"/>
  <c r="AC37" i="18"/>
  <c r="AD37" i="18"/>
  <c r="AE37" i="18"/>
  <c r="AF37" i="18"/>
  <c r="AG37" i="18"/>
  <c r="AH37" i="18"/>
  <c r="L42" i="26" l="1"/>
  <c r="L41" i="26"/>
  <c r="L40" i="26"/>
  <c r="AS19" i="26"/>
  <c r="AS29" i="26" s="1"/>
  <c r="AO19" i="26"/>
  <c r="AO29" i="26" s="1"/>
  <c r="L38" i="26"/>
  <c r="AQ17" i="26"/>
  <c r="AQ27" i="26" s="1"/>
  <c r="AM17" i="26"/>
  <c r="AM27" i="26" s="1"/>
  <c r="AW17" i="26"/>
  <c r="AW27" i="26" s="1"/>
  <c r="BA17" i="26"/>
  <c r="BA27" i="26" s="1"/>
  <c r="AP16" i="26"/>
  <c r="AP26" i="26" s="1"/>
  <c r="L36" i="26"/>
  <c r="AZ16" i="26"/>
  <c r="AZ26" i="26" s="1"/>
  <c r="AV16" i="26"/>
  <c r="AV26" i="26" s="1"/>
  <c r="BB15" i="26"/>
  <c r="BB25" i="26" s="1"/>
  <c r="L35" i="26"/>
  <c r="DD15" i="26"/>
  <c r="DD25" i="26" s="1"/>
  <c r="CV15" i="26"/>
  <c r="CV25" i="26" s="1"/>
  <c r="CZ22" i="26"/>
  <c r="CZ32" i="26" s="1"/>
  <c r="CR22" i="26"/>
  <c r="CR32" i="26" s="1"/>
  <c r="DD20" i="26"/>
  <c r="DD30" i="26" s="1"/>
  <c r="DD19" i="26"/>
  <c r="DD29" i="26" s="1"/>
  <c r="CV19" i="26"/>
  <c r="CV29" i="26" s="1"/>
  <c r="DB18" i="26"/>
  <c r="DB28" i="26" s="1"/>
  <c r="CT18" i="26"/>
  <c r="CT28" i="26" s="1"/>
  <c r="CR16" i="26"/>
  <c r="CR26" i="26" s="1"/>
  <c r="DB15" i="26"/>
  <c r="DB25" i="26" s="1"/>
  <c r="CT15" i="26"/>
  <c r="CT25" i="26" s="1"/>
  <c r="CX22" i="26"/>
  <c r="CX32" i="26" s="1"/>
  <c r="CP22" i="26"/>
  <c r="CP32" i="26" s="1"/>
  <c r="CZ20" i="26"/>
  <c r="CZ30" i="26" s="1"/>
  <c r="DA19" i="26"/>
  <c r="DA29" i="26" s="1"/>
  <c r="CS19" i="26"/>
  <c r="CS29" i="26" s="1"/>
  <c r="CZ18" i="26"/>
  <c r="CZ28" i="26" s="1"/>
  <c r="CR18" i="26"/>
  <c r="CR28" i="26" s="1"/>
  <c r="DD16" i="26"/>
  <c r="DD26" i="26" s="1"/>
  <c r="CZ15" i="26"/>
  <c r="CZ25" i="26" s="1"/>
  <c r="CR15" i="26"/>
  <c r="CR25" i="26" s="1"/>
  <c r="DD22" i="26"/>
  <c r="DD32" i="26" s="1"/>
  <c r="CV22" i="26"/>
  <c r="CV32" i="26" s="1"/>
  <c r="CV20" i="26"/>
  <c r="CV30" i="26" s="1"/>
  <c r="CZ19" i="26"/>
  <c r="CZ29" i="26" s="1"/>
  <c r="CR19" i="26"/>
  <c r="CR29" i="26" s="1"/>
  <c r="CX18" i="26"/>
  <c r="CX28" i="26" s="1"/>
  <c r="CP18" i="26"/>
  <c r="CP28" i="26" s="1"/>
  <c r="CZ16" i="26"/>
  <c r="CZ26" i="26" s="1"/>
  <c r="CX15" i="26"/>
  <c r="CX25" i="26" s="1"/>
  <c r="CP15" i="26"/>
  <c r="CP25" i="26" s="1"/>
  <c r="DB22" i="26"/>
  <c r="DB32" i="26" s="1"/>
  <c r="CT22" i="26"/>
  <c r="CT32" i="26" s="1"/>
  <c r="CR20" i="26"/>
  <c r="CR30" i="26" s="1"/>
  <c r="DE19" i="26"/>
  <c r="DE29" i="26" s="1"/>
  <c r="CW19" i="26"/>
  <c r="CW29" i="26" s="1"/>
  <c r="CO19" i="26"/>
  <c r="CO29" i="26" s="1"/>
  <c r="DD18" i="26"/>
  <c r="DD28" i="26" s="1"/>
  <c r="CV18" i="26"/>
  <c r="CV28" i="26" s="1"/>
  <c r="CV16" i="26"/>
  <c r="CV26" i="26" s="1"/>
  <c r="CY21" i="26"/>
  <c r="CY31" i="26" s="1"/>
  <c r="DC17" i="26"/>
  <c r="DC27" i="26" s="1"/>
  <c r="CU17" i="26"/>
  <c r="CU27" i="26" s="1"/>
  <c r="DE15" i="26"/>
  <c r="DE25" i="26" s="1"/>
  <c r="DA15" i="26"/>
  <c r="DA25" i="26" s="1"/>
  <c r="CW15" i="26"/>
  <c r="CW25" i="26" s="1"/>
  <c r="CS15" i="26"/>
  <c r="CS25" i="26" s="1"/>
  <c r="CO15" i="26"/>
  <c r="CO25" i="26" s="1"/>
  <c r="DE22" i="26"/>
  <c r="DE32" i="26" s="1"/>
  <c r="DA22" i="26"/>
  <c r="DA32" i="26" s="1"/>
  <c r="CW22" i="26"/>
  <c r="CW32" i="26" s="1"/>
  <c r="CS22" i="26"/>
  <c r="CS32" i="26" s="1"/>
  <c r="CO22" i="26"/>
  <c r="CO32" i="26" s="1"/>
  <c r="DB21" i="26"/>
  <c r="DB31" i="26" s="1"/>
  <c r="CX21" i="26"/>
  <c r="CX31" i="26" s="1"/>
  <c r="CT21" i="26"/>
  <c r="CT31" i="26" s="1"/>
  <c r="CP21" i="26"/>
  <c r="CP31" i="26" s="1"/>
  <c r="DC20" i="26"/>
  <c r="DC30" i="26" s="1"/>
  <c r="CY20" i="26"/>
  <c r="CY30" i="26" s="1"/>
  <c r="CU20" i="26"/>
  <c r="CU30" i="26" s="1"/>
  <c r="CQ20" i="26"/>
  <c r="CQ30" i="26" s="1"/>
  <c r="CN19" i="26"/>
  <c r="CN29" i="26" s="1"/>
  <c r="DE18" i="26"/>
  <c r="DE28" i="26" s="1"/>
  <c r="DA18" i="26"/>
  <c r="DA28" i="26" s="1"/>
  <c r="CW18" i="26"/>
  <c r="CW28" i="26" s="1"/>
  <c r="CS18" i="26"/>
  <c r="CS28" i="26" s="1"/>
  <c r="CO18" i="26"/>
  <c r="CO28" i="26" s="1"/>
  <c r="DB17" i="26"/>
  <c r="DB27" i="26" s="1"/>
  <c r="CX17" i="26"/>
  <c r="CX27" i="26" s="1"/>
  <c r="CT17" i="26"/>
  <c r="CT27" i="26" s="1"/>
  <c r="CP17" i="26"/>
  <c r="CP27" i="26" s="1"/>
  <c r="DC16" i="26"/>
  <c r="DC26" i="26" s="1"/>
  <c r="CY16" i="26"/>
  <c r="CY26" i="26" s="1"/>
  <c r="CU16" i="26"/>
  <c r="CU26" i="26" s="1"/>
  <c r="CQ16" i="26"/>
  <c r="CQ26" i="26" s="1"/>
  <c r="CY17" i="26"/>
  <c r="CY27" i="26" s="1"/>
  <c r="CQ17" i="26"/>
  <c r="CQ27" i="26" s="1"/>
  <c r="CW21" i="26"/>
  <c r="CW31" i="26" s="1"/>
  <c r="CO21" i="26"/>
  <c r="CO31" i="26" s="1"/>
  <c r="DB20" i="26"/>
  <c r="DB30" i="26" s="1"/>
  <c r="CT20" i="26"/>
  <c r="CT30" i="26" s="1"/>
  <c r="CP20" i="26"/>
  <c r="CP30" i="26" s="1"/>
  <c r="DC19" i="26"/>
  <c r="DC29" i="26" s="1"/>
  <c r="CY19" i="26"/>
  <c r="CY29" i="26" s="1"/>
  <c r="CU19" i="26"/>
  <c r="CU29" i="26" s="1"/>
  <c r="CQ19" i="26"/>
  <c r="CQ29" i="26" s="1"/>
  <c r="CN18" i="26"/>
  <c r="CN28" i="26" s="1"/>
  <c r="DE17" i="26"/>
  <c r="DE27" i="26" s="1"/>
  <c r="DA17" i="26"/>
  <c r="DA27" i="26" s="1"/>
  <c r="CW17" i="26"/>
  <c r="CW27" i="26" s="1"/>
  <c r="CS17" i="26"/>
  <c r="CS27" i="26" s="1"/>
  <c r="CO17" i="26"/>
  <c r="CO27" i="26" s="1"/>
  <c r="DB16" i="26"/>
  <c r="DB26" i="26" s="1"/>
  <c r="CX16" i="26"/>
  <c r="CX26" i="26" s="1"/>
  <c r="CT16" i="26"/>
  <c r="CT26" i="26" s="1"/>
  <c r="CP16" i="26"/>
  <c r="CP26" i="26" s="1"/>
  <c r="DC21" i="26"/>
  <c r="DC31" i="26" s="1"/>
  <c r="CU21" i="26"/>
  <c r="CU31" i="26" s="1"/>
  <c r="CQ21" i="26"/>
  <c r="CQ31" i="26" s="1"/>
  <c r="CN20" i="26"/>
  <c r="CN30" i="26" s="1"/>
  <c r="CN16" i="26"/>
  <c r="CN26" i="26" s="1"/>
  <c r="CN15" i="26"/>
  <c r="CN25" i="26" s="1"/>
  <c r="CN22" i="26"/>
  <c r="CN32" i="26" s="1"/>
  <c r="DE21" i="26"/>
  <c r="DE31" i="26" s="1"/>
  <c r="DA21" i="26"/>
  <c r="DA31" i="26" s="1"/>
  <c r="CS21" i="26"/>
  <c r="CS31" i="26" s="1"/>
  <c r="CX20" i="26"/>
  <c r="CX30" i="26" s="1"/>
  <c r="DC15" i="26"/>
  <c r="DC25" i="26" s="1"/>
  <c r="CY15" i="26"/>
  <c r="CY25" i="26" s="1"/>
  <c r="CU15" i="26"/>
  <c r="CU25" i="26" s="1"/>
  <c r="CQ15" i="26"/>
  <c r="CQ25" i="26" s="1"/>
  <c r="DC22" i="26"/>
  <c r="DC32" i="26" s="1"/>
  <c r="CY22" i="26"/>
  <c r="CY32" i="26" s="1"/>
  <c r="CU22" i="26"/>
  <c r="CU32" i="26" s="1"/>
  <c r="CQ22" i="26"/>
  <c r="CQ32" i="26" s="1"/>
  <c r="DD21" i="26"/>
  <c r="DD31" i="26" s="1"/>
  <c r="CZ21" i="26"/>
  <c r="CZ31" i="26" s="1"/>
  <c r="CV21" i="26"/>
  <c r="CV31" i="26" s="1"/>
  <c r="CR21" i="26"/>
  <c r="CR31" i="26" s="1"/>
  <c r="CN21" i="26"/>
  <c r="CN31" i="26" s="1"/>
  <c r="DE20" i="26"/>
  <c r="DE30" i="26" s="1"/>
  <c r="DA20" i="26"/>
  <c r="DA30" i="26" s="1"/>
  <c r="CW20" i="26"/>
  <c r="CW30" i="26" s="1"/>
  <c r="CS20" i="26"/>
  <c r="CS30" i="26" s="1"/>
  <c r="CO20" i="26"/>
  <c r="CO30" i="26" s="1"/>
  <c r="AZ21" i="26"/>
  <c r="AZ31" i="26" s="1"/>
  <c r="AZ19" i="26"/>
  <c r="AZ29" i="26" s="1"/>
  <c r="AZ17" i="26"/>
  <c r="AZ27" i="26" s="1"/>
  <c r="BA15" i="26"/>
  <c r="BA25" i="26" s="1"/>
  <c r="AV21" i="26"/>
  <c r="AV31" i="26" s="1"/>
  <c r="AV19" i="26"/>
  <c r="AV29" i="26" s="1"/>
  <c r="AV17" i="26"/>
  <c r="AV27" i="26" s="1"/>
  <c r="AW15" i="26"/>
  <c r="AW25" i="26" s="1"/>
  <c r="BB22" i="26"/>
  <c r="BB32" i="26" s="1"/>
  <c r="AX22" i="26"/>
  <c r="AX32" i="26" s="1"/>
  <c r="AZ15" i="26"/>
  <c r="AZ25" i="26" s="1"/>
  <c r="AV15" i="26"/>
  <c r="AV25" i="26" s="1"/>
  <c r="BA22" i="26"/>
  <c r="BA32" i="26" s="1"/>
  <c r="AW22" i="26"/>
  <c r="AW32" i="26" s="1"/>
  <c r="BC21" i="26"/>
  <c r="BC31" i="26" s="1"/>
  <c r="AY21" i="26"/>
  <c r="AY31" i="26" s="1"/>
  <c r="AU21" i="26"/>
  <c r="AU31" i="26" s="1"/>
  <c r="BA20" i="26"/>
  <c r="BA30" i="26" s="1"/>
  <c r="AW20" i="26"/>
  <c r="AW30" i="26" s="1"/>
  <c r="BC19" i="26"/>
  <c r="BC29" i="26" s="1"/>
  <c r="AY19" i="26"/>
  <c r="AY29" i="26" s="1"/>
  <c r="AU19" i="26"/>
  <c r="AU29" i="26" s="1"/>
  <c r="BA18" i="26"/>
  <c r="BA28" i="26" s="1"/>
  <c r="AW18" i="26"/>
  <c r="AW28" i="26" s="1"/>
  <c r="BC17" i="26"/>
  <c r="BC27" i="26" s="1"/>
  <c r="AY17" i="26"/>
  <c r="AY27" i="26" s="1"/>
  <c r="AU17" i="26"/>
  <c r="AU27" i="26" s="1"/>
  <c r="BA16" i="26"/>
  <c r="BA26" i="26" s="1"/>
  <c r="AW16" i="26"/>
  <c r="AW26" i="26" s="1"/>
  <c r="AX20" i="26"/>
  <c r="AX30" i="26" s="1"/>
  <c r="BB18" i="26"/>
  <c r="BB28" i="26" s="1"/>
  <c r="AX18" i="26"/>
  <c r="AX28" i="26" s="1"/>
  <c r="BB16" i="26"/>
  <c r="BB26" i="26" s="1"/>
  <c r="BC15" i="26"/>
  <c r="BC25" i="26" s="1"/>
  <c r="AY15" i="26"/>
  <c r="AY25" i="26" s="1"/>
  <c r="AU15" i="26"/>
  <c r="AU25" i="26" s="1"/>
  <c r="AZ22" i="26"/>
  <c r="AZ32" i="26" s="1"/>
  <c r="AV22" i="26"/>
  <c r="AV32" i="26" s="1"/>
  <c r="BB21" i="26"/>
  <c r="BB31" i="26" s="1"/>
  <c r="AX21" i="26"/>
  <c r="AX31" i="26" s="1"/>
  <c r="AZ20" i="26"/>
  <c r="AZ30" i="26" s="1"/>
  <c r="AV20" i="26"/>
  <c r="AV30" i="26" s="1"/>
  <c r="BB19" i="26"/>
  <c r="BB29" i="26" s="1"/>
  <c r="AX19" i="26"/>
  <c r="AX29" i="26" s="1"/>
  <c r="AZ18" i="26"/>
  <c r="AZ28" i="26" s="1"/>
  <c r="AV18" i="26"/>
  <c r="AV28" i="26" s="1"/>
  <c r="BB17" i="26"/>
  <c r="BB27" i="26" s="1"/>
  <c r="AX17" i="26"/>
  <c r="AX27" i="26" s="1"/>
  <c r="BB20" i="26"/>
  <c r="BB30" i="26" s="1"/>
  <c r="AX16" i="26"/>
  <c r="AX26" i="26" s="1"/>
  <c r="BC22" i="26"/>
  <c r="BC32" i="26" s="1"/>
  <c r="AY22" i="26"/>
  <c r="AY32" i="26" s="1"/>
  <c r="AU22" i="26"/>
  <c r="AU32" i="26" s="1"/>
  <c r="BA21" i="26"/>
  <c r="BA31" i="26" s="1"/>
  <c r="AW21" i="26"/>
  <c r="AW31" i="26" s="1"/>
  <c r="BC20" i="26"/>
  <c r="BC30" i="26" s="1"/>
  <c r="AY20" i="26"/>
  <c r="AY30" i="26" s="1"/>
  <c r="AU20" i="26"/>
  <c r="AU30" i="26" s="1"/>
  <c r="BA19" i="26"/>
  <c r="BA29" i="26" s="1"/>
  <c r="AW19" i="26"/>
  <c r="AW29" i="26" s="1"/>
  <c r="BC18" i="26"/>
  <c r="BC28" i="26" s="1"/>
  <c r="AY18" i="26"/>
  <c r="AY28" i="26" s="1"/>
  <c r="AU18" i="26"/>
  <c r="AU28" i="26" s="1"/>
  <c r="AS15" i="26"/>
  <c r="AS25" i="26" s="1"/>
  <c r="AO15" i="26"/>
  <c r="AO25" i="26" s="1"/>
  <c r="AQ22" i="26"/>
  <c r="AQ32" i="26" s="1"/>
  <c r="AM22" i="26"/>
  <c r="AM32" i="26" s="1"/>
  <c r="AT21" i="26"/>
  <c r="AT31" i="26" s="1"/>
  <c r="AP21" i="26"/>
  <c r="AP31" i="26" s="1"/>
  <c r="AL21" i="26"/>
  <c r="AL31" i="26" s="1"/>
  <c r="AS20" i="26"/>
  <c r="AS30" i="26" s="1"/>
  <c r="AO20" i="26"/>
  <c r="AO30" i="26" s="1"/>
  <c r="AR19" i="26"/>
  <c r="AR29" i="26" s="1"/>
  <c r="AN19" i="26"/>
  <c r="AN29" i="26" s="1"/>
  <c r="AQ18" i="26"/>
  <c r="AQ28" i="26" s="1"/>
  <c r="AM18" i="26"/>
  <c r="AM28" i="26" s="1"/>
  <c r="AT17" i="26"/>
  <c r="AT27" i="26" s="1"/>
  <c r="AP17" i="26"/>
  <c r="AP27" i="26" s="1"/>
  <c r="AL17" i="26"/>
  <c r="AL27" i="26" s="1"/>
  <c r="AS16" i="26"/>
  <c r="AS26" i="26" s="1"/>
  <c r="AO16" i="26"/>
  <c r="AO26" i="26" s="1"/>
  <c r="AR15" i="26"/>
  <c r="AR25" i="26" s="1"/>
  <c r="AN15" i="26"/>
  <c r="AN25" i="26" s="1"/>
  <c r="AT22" i="26"/>
  <c r="AT32" i="26" s="1"/>
  <c r="AP22" i="26"/>
  <c r="AP32" i="26" s="1"/>
  <c r="AL22" i="26"/>
  <c r="AL32" i="26" s="1"/>
  <c r="AS21" i="26"/>
  <c r="AS31" i="26" s="1"/>
  <c r="AO21" i="26"/>
  <c r="AO31" i="26" s="1"/>
  <c r="AR20" i="26"/>
  <c r="AR30" i="26" s="1"/>
  <c r="AN20" i="26"/>
  <c r="AN30" i="26" s="1"/>
  <c r="AQ19" i="26"/>
  <c r="AQ29" i="26" s="1"/>
  <c r="AM19" i="26"/>
  <c r="AM29" i="26" s="1"/>
  <c r="AT18" i="26"/>
  <c r="AT28" i="26" s="1"/>
  <c r="AP18" i="26"/>
  <c r="AP28" i="26" s="1"/>
  <c r="AL18" i="26"/>
  <c r="AL28" i="26" s="1"/>
  <c r="AS17" i="26"/>
  <c r="AS27" i="26" s="1"/>
  <c r="AO17" i="26"/>
  <c r="AO27" i="26" s="1"/>
  <c r="AR16" i="26"/>
  <c r="AR26" i="26" s="1"/>
  <c r="AN16" i="26"/>
  <c r="AN26" i="26" s="1"/>
  <c r="AQ15" i="26"/>
  <c r="AQ25" i="26" s="1"/>
  <c r="AM15" i="26"/>
  <c r="AM25" i="26" s="1"/>
  <c r="AS22" i="26"/>
  <c r="AS32" i="26" s="1"/>
  <c r="AO22" i="26"/>
  <c r="AO32" i="26" s="1"/>
  <c r="AR21" i="26"/>
  <c r="AR31" i="26" s="1"/>
  <c r="AN21" i="26"/>
  <c r="AN31" i="26" s="1"/>
  <c r="AQ20" i="26"/>
  <c r="AQ30" i="26" s="1"/>
  <c r="AM20" i="26"/>
  <c r="AM30" i="26" s="1"/>
  <c r="AT19" i="26"/>
  <c r="AT29" i="26" s="1"/>
  <c r="AP19" i="26"/>
  <c r="AP29" i="26" s="1"/>
  <c r="AL19" i="26"/>
  <c r="AL29" i="26" s="1"/>
  <c r="AS18" i="26"/>
  <c r="AS28" i="26" s="1"/>
  <c r="AO18" i="26"/>
  <c r="AO28" i="26" s="1"/>
  <c r="AR17" i="26"/>
  <c r="AR27" i="26" s="1"/>
  <c r="AN17" i="26"/>
  <c r="AN27" i="26" s="1"/>
  <c r="AQ16" i="26"/>
  <c r="AQ26" i="26" s="1"/>
  <c r="AM16" i="26"/>
  <c r="AM26" i="26" s="1"/>
  <c r="AT15" i="26"/>
  <c r="AT25" i="26" s="1"/>
  <c r="AP15" i="26"/>
  <c r="AP25" i="26" s="1"/>
  <c r="AL15" i="26"/>
  <c r="AL25" i="26" s="1"/>
  <c r="AR22" i="26"/>
  <c r="AR32" i="26" s="1"/>
  <c r="AN22" i="26"/>
  <c r="AN32" i="26" s="1"/>
  <c r="AQ21" i="26"/>
  <c r="AQ31" i="26" s="1"/>
  <c r="AM21" i="26"/>
  <c r="AM31" i="26" s="1"/>
  <c r="AT20" i="26"/>
  <c r="AT30" i="26" s="1"/>
  <c r="AP20" i="26"/>
  <c r="AP30" i="26" s="1"/>
  <c r="AL20" i="26"/>
  <c r="AL30" i="26" s="1"/>
  <c r="U3" i="18"/>
  <c r="V3" i="18"/>
  <c r="W3" i="18"/>
  <c r="X3" i="18"/>
  <c r="U4" i="18"/>
  <c r="V4" i="18"/>
  <c r="W4" i="18"/>
  <c r="X4" i="18"/>
  <c r="U5" i="18"/>
  <c r="V5" i="18"/>
  <c r="W5" i="18"/>
  <c r="X5" i="18"/>
  <c r="U6" i="18"/>
  <c r="V6" i="18"/>
  <c r="W6" i="18"/>
  <c r="X6" i="18"/>
  <c r="U7" i="18"/>
  <c r="V7" i="18"/>
  <c r="W7" i="18"/>
  <c r="X7" i="18"/>
  <c r="U8" i="18"/>
  <c r="V8" i="18"/>
  <c r="W8" i="18"/>
  <c r="X8" i="18"/>
  <c r="U9" i="18"/>
  <c r="V9" i="18"/>
  <c r="W9" i="18"/>
  <c r="X9" i="18"/>
  <c r="V2" i="18"/>
  <c r="W2" i="18"/>
  <c r="X2" i="18"/>
  <c r="U2" i="18"/>
  <c r="A33" i="25"/>
  <c r="B33" i="25"/>
  <c r="E33" i="25"/>
  <c r="F33" i="25"/>
  <c r="G33" i="25"/>
  <c r="H33" i="25"/>
  <c r="I33" i="25"/>
  <c r="J33" i="25"/>
  <c r="K33" i="25"/>
  <c r="L33" i="25"/>
  <c r="M33" i="25"/>
  <c r="N33" i="25"/>
  <c r="O33" i="25"/>
  <c r="P33" i="25"/>
  <c r="Q33" i="25"/>
  <c r="R33" i="25"/>
  <c r="S33" i="25"/>
  <c r="T33" i="25"/>
  <c r="U33" i="25"/>
  <c r="V33" i="25"/>
  <c r="W33" i="25"/>
  <c r="E27" i="25"/>
  <c r="F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S27" i="25"/>
  <c r="T27" i="25"/>
  <c r="U27" i="25"/>
  <c r="V27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Q28" i="25"/>
  <c r="R28" i="25"/>
  <c r="S28" i="25"/>
  <c r="T28" i="25"/>
  <c r="U28" i="25"/>
  <c r="V28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S29" i="25"/>
  <c r="T29" i="25"/>
  <c r="U29" i="25"/>
  <c r="V29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E31" i="25"/>
  <c r="F31" i="25"/>
  <c r="G31" i="25"/>
  <c r="H31" i="25"/>
  <c r="I31" i="25"/>
  <c r="J31" i="25"/>
  <c r="K31" i="25"/>
  <c r="L31" i="25"/>
  <c r="M31" i="25"/>
  <c r="N31" i="25"/>
  <c r="O31" i="25"/>
  <c r="P31" i="25"/>
  <c r="Q31" i="25"/>
  <c r="R31" i="25"/>
  <c r="S31" i="25"/>
  <c r="T31" i="25"/>
  <c r="U31" i="25"/>
  <c r="V31" i="25"/>
  <c r="E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R32" i="25"/>
  <c r="S32" i="25"/>
  <c r="T32" i="25"/>
  <c r="U32" i="25"/>
  <c r="V32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E26" i="25"/>
  <c r="A27" i="25"/>
  <c r="B27" i="25"/>
  <c r="A28" i="25"/>
  <c r="B28" i="25"/>
  <c r="A29" i="25"/>
  <c r="B29" i="25"/>
  <c r="A30" i="25"/>
  <c r="B30" i="25"/>
  <c r="B46" i="25" s="1"/>
  <c r="A31" i="25"/>
  <c r="B31" i="25"/>
  <c r="A32" i="25"/>
  <c r="B32" i="25"/>
  <c r="A43" i="25"/>
  <c r="B43" i="25"/>
  <c r="B45" i="25"/>
  <c r="B47" i="25"/>
  <c r="A49" i="25"/>
  <c r="B49" i="25"/>
  <c r="A47" i="25"/>
  <c r="B26" i="25"/>
  <c r="A26" i="25"/>
  <c r="A8" i="25"/>
  <c r="A9" i="25"/>
  <c r="A10" i="25"/>
  <c r="A11" i="25"/>
  <c r="A12" i="25"/>
  <c r="A13" i="25"/>
  <c r="A14" i="25"/>
  <c r="A7" i="25"/>
  <c r="B48" i="25"/>
  <c r="A48" i="25"/>
  <c r="A46" i="25"/>
  <c r="A45" i="25"/>
  <c r="B44" i="25"/>
  <c r="A44" i="25"/>
  <c r="B42" i="25"/>
  <c r="A42" i="25"/>
  <c r="V24" i="25"/>
  <c r="V40" i="25" s="1"/>
  <c r="U24" i="25"/>
  <c r="U40" i="25" s="1"/>
  <c r="T24" i="25"/>
  <c r="T40" i="25" s="1"/>
  <c r="S24" i="25"/>
  <c r="S40" i="25" s="1"/>
  <c r="R24" i="25"/>
  <c r="R40" i="25" s="1"/>
  <c r="Q24" i="25"/>
  <c r="Q40" i="25" s="1"/>
  <c r="P24" i="25"/>
  <c r="P40" i="25" s="1"/>
  <c r="O24" i="25"/>
  <c r="O40" i="25" s="1"/>
  <c r="N24" i="25"/>
  <c r="N40" i="25" s="1"/>
  <c r="M24" i="25"/>
  <c r="M40" i="25" s="1"/>
  <c r="L24" i="25"/>
  <c r="L40" i="25" s="1"/>
  <c r="K24" i="25"/>
  <c r="K40" i="25" s="1"/>
  <c r="J24" i="25"/>
  <c r="J40" i="25" s="1"/>
  <c r="I24" i="25"/>
  <c r="I40" i="25" s="1"/>
  <c r="H24" i="25"/>
  <c r="H40" i="25" s="1"/>
  <c r="G24" i="25"/>
  <c r="G40" i="25" s="1"/>
  <c r="F24" i="25"/>
  <c r="F40" i="25" s="1"/>
  <c r="E24" i="25"/>
  <c r="E40" i="25" s="1"/>
  <c r="V23" i="25"/>
  <c r="V39" i="25" s="1"/>
  <c r="U23" i="25"/>
  <c r="U39" i="25" s="1"/>
  <c r="T23" i="25"/>
  <c r="T39" i="25" s="1"/>
  <c r="S23" i="25"/>
  <c r="S39" i="25" s="1"/>
  <c r="R23" i="25"/>
  <c r="R39" i="25" s="1"/>
  <c r="Q23" i="25"/>
  <c r="Q39" i="25" s="1"/>
  <c r="P23" i="25"/>
  <c r="P39" i="25" s="1"/>
  <c r="O23" i="25"/>
  <c r="O39" i="25" s="1"/>
  <c r="N23" i="25"/>
  <c r="N39" i="25" s="1"/>
  <c r="M23" i="25"/>
  <c r="M39" i="25" s="1"/>
  <c r="L23" i="25"/>
  <c r="L39" i="25" s="1"/>
  <c r="K23" i="25"/>
  <c r="K39" i="25" s="1"/>
  <c r="J23" i="25"/>
  <c r="J39" i="25" s="1"/>
  <c r="I23" i="25"/>
  <c r="I39" i="25" s="1"/>
  <c r="H23" i="25"/>
  <c r="H39" i="25" s="1"/>
  <c r="G23" i="25"/>
  <c r="G39" i="25" s="1"/>
  <c r="F23" i="25"/>
  <c r="F39" i="25" s="1"/>
  <c r="E23" i="25"/>
  <c r="E39" i="25" s="1"/>
  <c r="E43" i="23"/>
  <c r="F43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E44" i="23"/>
  <c r="F44" i="23"/>
  <c r="G44" i="23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E45" i="23"/>
  <c r="F45" i="23"/>
  <c r="G45" i="23"/>
  <c r="H45" i="23"/>
  <c r="I45" i="23"/>
  <c r="J45" i="23"/>
  <c r="K45" i="23"/>
  <c r="L45" i="23"/>
  <c r="M45" i="23"/>
  <c r="N45" i="23"/>
  <c r="O45" i="23"/>
  <c r="P45" i="23"/>
  <c r="Q45" i="23"/>
  <c r="R45" i="23"/>
  <c r="S45" i="23"/>
  <c r="T45" i="23"/>
  <c r="U45" i="23"/>
  <c r="V45" i="23"/>
  <c r="W45" i="23"/>
  <c r="E46" i="23"/>
  <c r="F46" i="23"/>
  <c r="G46" i="23"/>
  <c r="H46" i="23"/>
  <c r="I46" i="23"/>
  <c r="J46" i="23"/>
  <c r="K46" i="23"/>
  <c r="L46" i="23"/>
  <c r="M46" i="23"/>
  <c r="N46" i="23"/>
  <c r="O46" i="23"/>
  <c r="P46" i="23"/>
  <c r="Q46" i="23"/>
  <c r="R46" i="23"/>
  <c r="S46" i="23"/>
  <c r="T46" i="23"/>
  <c r="U46" i="23"/>
  <c r="V46" i="23"/>
  <c r="W46" i="23"/>
  <c r="E48" i="23"/>
  <c r="F48" i="23"/>
  <c r="G48" i="23"/>
  <c r="H48" i="23"/>
  <c r="I48" i="23"/>
  <c r="J48" i="23"/>
  <c r="K48" i="23"/>
  <c r="L48" i="23"/>
  <c r="M48" i="23"/>
  <c r="N48" i="23"/>
  <c r="O48" i="23"/>
  <c r="P48" i="23"/>
  <c r="Q48" i="23"/>
  <c r="R48" i="23"/>
  <c r="S48" i="23"/>
  <c r="T48" i="23"/>
  <c r="U48" i="23"/>
  <c r="V48" i="23"/>
  <c r="W48" i="23"/>
  <c r="E49" i="23"/>
  <c r="F49" i="23"/>
  <c r="G49" i="23"/>
  <c r="H49" i="23"/>
  <c r="I49" i="23"/>
  <c r="J49" i="23"/>
  <c r="K49" i="23"/>
  <c r="L49" i="23"/>
  <c r="M49" i="23"/>
  <c r="N49" i="23"/>
  <c r="O49" i="23"/>
  <c r="P49" i="23"/>
  <c r="Q49" i="23"/>
  <c r="R49" i="23"/>
  <c r="S49" i="23"/>
  <c r="T49" i="23"/>
  <c r="U49" i="23"/>
  <c r="V49" i="23"/>
  <c r="W49" i="23"/>
  <c r="F42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E42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E28" i="23"/>
  <c r="F28" i="23"/>
  <c r="G28" i="23"/>
  <c r="H28" i="23"/>
  <c r="I28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V28" i="23"/>
  <c r="W28" i="23"/>
  <c r="E29" i="23"/>
  <c r="F29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E30" i="23"/>
  <c r="F30" i="23"/>
  <c r="G30" i="23"/>
  <c r="H30" i="23"/>
  <c r="I30" i="23"/>
  <c r="J30" i="23"/>
  <c r="K30" i="23"/>
  <c r="L30" i="23"/>
  <c r="M30" i="23"/>
  <c r="N30" i="23"/>
  <c r="O30" i="23"/>
  <c r="P30" i="23"/>
  <c r="Q30" i="23"/>
  <c r="R30" i="23"/>
  <c r="S30" i="23"/>
  <c r="T30" i="23"/>
  <c r="U30" i="23"/>
  <c r="V30" i="23"/>
  <c r="W30" i="23"/>
  <c r="E31" i="23"/>
  <c r="F31" i="23"/>
  <c r="G31" i="23"/>
  <c r="H31" i="23"/>
  <c r="I31" i="23"/>
  <c r="J31" i="23"/>
  <c r="K31" i="23"/>
  <c r="L31" i="23"/>
  <c r="M31" i="23"/>
  <c r="N31" i="23"/>
  <c r="O31" i="23"/>
  <c r="P31" i="23"/>
  <c r="Q31" i="23"/>
  <c r="R31" i="23"/>
  <c r="S31" i="23"/>
  <c r="T31" i="23"/>
  <c r="U31" i="23"/>
  <c r="V31" i="23"/>
  <c r="E32" i="23"/>
  <c r="F32" i="23"/>
  <c r="G32" i="23"/>
  <c r="H32" i="23"/>
  <c r="I32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V32" i="23"/>
  <c r="W32" i="23"/>
  <c r="E33" i="23"/>
  <c r="F33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E26" i="23"/>
  <c r="A27" i="23"/>
  <c r="B27" i="23"/>
  <c r="A28" i="23"/>
  <c r="B28" i="23"/>
  <c r="B44" i="23" s="1"/>
  <c r="A29" i="23"/>
  <c r="B29" i="23"/>
  <c r="A30" i="23"/>
  <c r="B30" i="23"/>
  <c r="B46" i="23" s="1"/>
  <c r="A31" i="23"/>
  <c r="B31" i="23"/>
  <c r="A32" i="23"/>
  <c r="B32" i="23"/>
  <c r="A33" i="23"/>
  <c r="B33" i="23"/>
  <c r="B48" i="23"/>
  <c r="B26" i="23"/>
  <c r="A26" i="23"/>
  <c r="A8" i="23"/>
  <c r="A9" i="23"/>
  <c r="A10" i="23"/>
  <c r="A11" i="23"/>
  <c r="A12" i="23"/>
  <c r="A13" i="23"/>
  <c r="A14" i="23"/>
  <c r="A7" i="23"/>
  <c r="B63" i="24"/>
  <c r="B62" i="24"/>
  <c r="B61" i="24"/>
  <c r="B60" i="24"/>
  <c r="B59" i="24"/>
  <c r="B58" i="24"/>
  <c r="B57" i="24"/>
  <c r="B56" i="24"/>
  <c r="R38" i="24"/>
  <c r="Q38" i="24"/>
  <c r="L38" i="24"/>
  <c r="D37" i="24"/>
  <c r="T34" i="24"/>
  <c r="R34" i="24"/>
  <c r="I34" i="24"/>
  <c r="D34" i="24"/>
  <c r="T32" i="24"/>
  <c r="O32" i="24"/>
  <c r="D32" i="24"/>
  <c r="C32" i="24"/>
  <c r="T26" i="24"/>
  <c r="T38" i="24" s="1"/>
  <c r="S26" i="24"/>
  <c r="S38" i="24" s="1"/>
  <c r="Q26" i="24"/>
  <c r="P26" i="24"/>
  <c r="P38" i="24" s="1"/>
  <c r="O26" i="24"/>
  <c r="O38" i="24" s="1"/>
  <c r="M26" i="24"/>
  <c r="M38" i="24" s="1"/>
  <c r="L26" i="24"/>
  <c r="K26" i="24"/>
  <c r="K38" i="24" s="1"/>
  <c r="I26" i="24"/>
  <c r="I38" i="24" s="1"/>
  <c r="H26" i="24"/>
  <c r="H38" i="24" s="1"/>
  <c r="G26" i="24"/>
  <c r="G38" i="24" s="1"/>
  <c r="E26" i="24"/>
  <c r="E38" i="24" s="1"/>
  <c r="D26" i="24"/>
  <c r="D38" i="24" s="1"/>
  <c r="C26" i="24"/>
  <c r="C38" i="24" s="1"/>
  <c r="B26" i="24"/>
  <c r="R26" i="24" s="1"/>
  <c r="T25" i="24"/>
  <c r="T37" i="24" s="1"/>
  <c r="S25" i="24"/>
  <c r="S37" i="24" s="1"/>
  <c r="R25" i="24"/>
  <c r="R37" i="24" s="1"/>
  <c r="N25" i="24"/>
  <c r="N37" i="24" s="1"/>
  <c r="L25" i="24"/>
  <c r="L37" i="24" s="1"/>
  <c r="J25" i="24"/>
  <c r="J37" i="24" s="1"/>
  <c r="G25" i="24"/>
  <c r="G37" i="24" s="1"/>
  <c r="D25" i="24"/>
  <c r="C25" i="24"/>
  <c r="C37" i="24" s="1"/>
  <c r="B25" i="24"/>
  <c r="O24" i="24"/>
  <c r="O36" i="24" s="1"/>
  <c r="Q47" i="23" s="1"/>
  <c r="G24" i="24"/>
  <c r="G36" i="24" s="1"/>
  <c r="I47" i="23" s="1"/>
  <c r="B24" i="24"/>
  <c r="T23" i="24"/>
  <c r="T35" i="24" s="1"/>
  <c r="N23" i="24"/>
  <c r="N35" i="24" s="1"/>
  <c r="M23" i="24"/>
  <c r="M35" i="24" s="1"/>
  <c r="H23" i="24"/>
  <c r="H35" i="24" s="1"/>
  <c r="E23" i="24"/>
  <c r="E35" i="24" s="1"/>
  <c r="B23" i="24"/>
  <c r="T22" i="24"/>
  <c r="S22" i="24"/>
  <c r="S34" i="24" s="1"/>
  <c r="Q22" i="24"/>
  <c r="Q34" i="24" s="1"/>
  <c r="P22" i="24"/>
  <c r="P34" i="24" s="1"/>
  <c r="O22" i="24"/>
  <c r="O34" i="24" s="1"/>
  <c r="M22" i="24"/>
  <c r="M34" i="24" s="1"/>
  <c r="L22" i="24"/>
  <c r="L34" i="24" s="1"/>
  <c r="K22" i="24"/>
  <c r="K34" i="24" s="1"/>
  <c r="I22" i="24"/>
  <c r="H22" i="24"/>
  <c r="H34" i="24" s="1"/>
  <c r="G22" i="24"/>
  <c r="G34" i="24" s="1"/>
  <c r="E22" i="24"/>
  <c r="E34" i="24" s="1"/>
  <c r="D22" i="24"/>
  <c r="C22" i="24"/>
  <c r="C34" i="24" s="1"/>
  <c r="B22" i="24"/>
  <c r="R22" i="24" s="1"/>
  <c r="I21" i="24"/>
  <c r="I33" i="24" s="1"/>
  <c r="B21" i="24"/>
  <c r="Y20" i="24"/>
  <c r="T20" i="24"/>
  <c r="S20" i="24"/>
  <c r="S32" i="24" s="1"/>
  <c r="Q20" i="24"/>
  <c r="Q32" i="24" s="1"/>
  <c r="P20" i="24"/>
  <c r="P32" i="24" s="1"/>
  <c r="O20" i="24"/>
  <c r="M20" i="24"/>
  <c r="M32" i="24" s="1"/>
  <c r="L20" i="24"/>
  <c r="L32" i="24" s="1"/>
  <c r="K20" i="24"/>
  <c r="K32" i="24" s="1"/>
  <c r="I20" i="24"/>
  <c r="I32" i="24" s="1"/>
  <c r="H20" i="24"/>
  <c r="H32" i="24" s="1"/>
  <c r="G20" i="24"/>
  <c r="G32" i="24" s="1"/>
  <c r="E20" i="24"/>
  <c r="E32" i="24" s="1"/>
  <c r="D20" i="24"/>
  <c r="C20" i="24"/>
  <c r="B20" i="24"/>
  <c r="R20" i="24" s="1"/>
  <c r="R32" i="24" s="1"/>
  <c r="S19" i="24"/>
  <c r="S31" i="24" s="1"/>
  <c r="N19" i="24"/>
  <c r="N31" i="24" s="1"/>
  <c r="M19" i="24"/>
  <c r="M31" i="24" s="1"/>
  <c r="G19" i="24"/>
  <c r="G31" i="24" s="1"/>
  <c r="F19" i="24"/>
  <c r="F31" i="24" s="1"/>
  <c r="B19" i="24"/>
  <c r="Y16" i="24"/>
  <c r="Y15" i="24"/>
  <c r="U14" i="24"/>
  <c r="U13" i="24"/>
  <c r="U12" i="24"/>
  <c r="W31" i="23" s="1"/>
  <c r="Y11" i="24"/>
  <c r="Y21" i="24" s="1"/>
  <c r="U11" i="24"/>
  <c r="Y10" i="24"/>
  <c r="U10" i="24"/>
  <c r="Y9" i="24"/>
  <c r="Y19" i="24" s="1"/>
  <c r="U9" i="24"/>
  <c r="Y8" i="24"/>
  <c r="Y18" i="24" s="1"/>
  <c r="U8" i="24"/>
  <c r="Y7" i="24"/>
  <c r="Y17" i="24" s="1"/>
  <c r="U7" i="24"/>
  <c r="Y6" i="24"/>
  <c r="Y5" i="24"/>
  <c r="Y4" i="24"/>
  <c r="Y14" i="24" s="1"/>
  <c r="B106" i="23"/>
  <c r="A106" i="23"/>
  <c r="B105" i="23"/>
  <c r="A105" i="23"/>
  <c r="B104" i="23"/>
  <c r="A104" i="23"/>
  <c r="B103" i="23"/>
  <c r="A103" i="23"/>
  <c r="B102" i="23"/>
  <c r="A102" i="23"/>
  <c r="B101" i="23"/>
  <c r="A101" i="23"/>
  <c r="B100" i="23"/>
  <c r="A100" i="23"/>
  <c r="B99" i="23"/>
  <c r="A99" i="23"/>
  <c r="B49" i="23"/>
  <c r="A46" i="23"/>
  <c r="A62" i="23" s="1"/>
  <c r="B45" i="23"/>
  <c r="A49" i="23"/>
  <c r="A65" i="23" s="1"/>
  <c r="A48" i="23"/>
  <c r="A64" i="23" s="1"/>
  <c r="B47" i="23"/>
  <c r="A47" i="23"/>
  <c r="A63" i="23" s="1"/>
  <c r="A45" i="23"/>
  <c r="A61" i="23" s="1"/>
  <c r="A44" i="23"/>
  <c r="A60" i="23" s="1"/>
  <c r="B43" i="23"/>
  <c r="A43" i="23"/>
  <c r="A59" i="23" s="1"/>
  <c r="B42" i="23"/>
  <c r="A42" i="23"/>
  <c r="A58" i="23" s="1"/>
  <c r="V24" i="23"/>
  <c r="V40" i="23" s="1"/>
  <c r="V56" i="23" s="1"/>
  <c r="U24" i="23"/>
  <c r="U40" i="23" s="1"/>
  <c r="U56" i="23" s="1"/>
  <c r="T24" i="23"/>
  <c r="T40" i="23" s="1"/>
  <c r="T56" i="23" s="1"/>
  <c r="S24" i="23"/>
  <c r="S40" i="23" s="1"/>
  <c r="S56" i="23" s="1"/>
  <c r="R24" i="23"/>
  <c r="R40" i="23" s="1"/>
  <c r="R56" i="23" s="1"/>
  <c r="Q24" i="23"/>
  <c r="Q40" i="23" s="1"/>
  <c r="Q56" i="23" s="1"/>
  <c r="P24" i="23"/>
  <c r="P40" i="23" s="1"/>
  <c r="P56" i="23" s="1"/>
  <c r="O24" i="23"/>
  <c r="O40" i="23" s="1"/>
  <c r="O56" i="23" s="1"/>
  <c r="N24" i="23"/>
  <c r="N40" i="23" s="1"/>
  <c r="N56" i="23" s="1"/>
  <c r="M24" i="23"/>
  <c r="M40" i="23" s="1"/>
  <c r="M56" i="23" s="1"/>
  <c r="L24" i="23"/>
  <c r="L40" i="23" s="1"/>
  <c r="L56" i="23" s="1"/>
  <c r="K24" i="23"/>
  <c r="K40" i="23" s="1"/>
  <c r="K56" i="23" s="1"/>
  <c r="J24" i="23"/>
  <c r="J40" i="23" s="1"/>
  <c r="J56" i="23" s="1"/>
  <c r="I24" i="23"/>
  <c r="I40" i="23" s="1"/>
  <c r="I56" i="23" s="1"/>
  <c r="H24" i="23"/>
  <c r="H40" i="23" s="1"/>
  <c r="H56" i="23" s="1"/>
  <c r="G24" i="23"/>
  <c r="G40" i="23" s="1"/>
  <c r="G56" i="23" s="1"/>
  <c r="F24" i="23"/>
  <c r="F40" i="23" s="1"/>
  <c r="F56" i="23" s="1"/>
  <c r="E24" i="23"/>
  <c r="E40" i="23" s="1"/>
  <c r="E56" i="23" s="1"/>
  <c r="V23" i="23"/>
  <c r="V39" i="23" s="1"/>
  <c r="V55" i="23" s="1"/>
  <c r="U23" i="23"/>
  <c r="U39" i="23" s="1"/>
  <c r="U55" i="23" s="1"/>
  <c r="T23" i="23"/>
  <c r="T39" i="23" s="1"/>
  <c r="T55" i="23" s="1"/>
  <c r="S23" i="23"/>
  <c r="S39" i="23" s="1"/>
  <c r="S55" i="23" s="1"/>
  <c r="R23" i="23"/>
  <c r="R39" i="23" s="1"/>
  <c r="R55" i="23" s="1"/>
  <c r="Q23" i="23"/>
  <c r="Q39" i="23" s="1"/>
  <c r="Q55" i="23" s="1"/>
  <c r="P23" i="23"/>
  <c r="P39" i="23" s="1"/>
  <c r="P55" i="23" s="1"/>
  <c r="O23" i="23"/>
  <c r="O39" i="23" s="1"/>
  <c r="O55" i="23" s="1"/>
  <c r="N23" i="23"/>
  <c r="N39" i="23" s="1"/>
  <c r="N55" i="23" s="1"/>
  <c r="M23" i="23"/>
  <c r="M39" i="23" s="1"/>
  <c r="M55" i="23" s="1"/>
  <c r="L23" i="23"/>
  <c r="L39" i="23" s="1"/>
  <c r="L55" i="23" s="1"/>
  <c r="K23" i="23"/>
  <c r="K39" i="23" s="1"/>
  <c r="K55" i="23" s="1"/>
  <c r="J23" i="23"/>
  <c r="J39" i="23" s="1"/>
  <c r="J55" i="23" s="1"/>
  <c r="I23" i="23"/>
  <c r="I39" i="23" s="1"/>
  <c r="I55" i="23" s="1"/>
  <c r="H23" i="23"/>
  <c r="H39" i="23" s="1"/>
  <c r="H55" i="23" s="1"/>
  <c r="G23" i="23"/>
  <c r="G39" i="23" s="1"/>
  <c r="G55" i="23" s="1"/>
  <c r="F23" i="23"/>
  <c r="F39" i="23" s="1"/>
  <c r="F55" i="23" s="1"/>
  <c r="E23" i="23"/>
  <c r="E39" i="23" s="1"/>
  <c r="E55" i="23" s="1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E26" i="22"/>
  <c r="A27" i="22"/>
  <c r="B27" i="22"/>
  <c r="A28" i="22"/>
  <c r="B28" i="22"/>
  <c r="A29" i="22"/>
  <c r="B29" i="22"/>
  <c r="A30" i="22"/>
  <c r="B30" i="22"/>
  <c r="A31" i="22"/>
  <c r="B31" i="22"/>
  <c r="A32" i="22"/>
  <c r="A48" i="22" s="1"/>
  <c r="B32" i="22"/>
  <c r="B48" i="22" s="1"/>
  <c r="A33" i="22"/>
  <c r="B33" i="22"/>
  <c r="A46" i="22"/>
  <c r="B46" i="22"/>
  <c r="A44" i="22"/>
  <c r="B44" i="22"/>
  <c r="B26" i="22"/>
  <c r="A26" i="22"/>
  <c r="A8" i="22"/>
  <c r="A9" i="22"/>
  <c r="A10" i="22"/>
  <c r="A11" i="22"/>
  <c r="A12" i="22"/>
  <c r="A13" i="22"/>
  <c r="A14" i="22"/>
  <c r="A7" i="22"/>
  <c r="B49" i="22"/>
  <c r="A49" i="22"/>
  <c r="B47" i="22"/>
  <c r="A47" i="22"/>
  <c r="B45" i="22"/>
  <c r="A45" i="22"/>
  <c r="B43" i="22"/>
  <c r="A43" i="22"/>
  <c r="B42" i="22"/>
  <c r="A42" i="22"/>
  <c r="V24" i="22"/>
  <c r="V40" i="22" s="1"/>
  <c r="U24" i="22"/>
  <c r="U40" i="22" s="1"/>
  <c r="T24" i="22"/>
  <c r="T40" i="22" s="1"/>
  <c r="S24" i="22"/>
  <c r="S40" i="22" s="1"/>
  <c r="R24" i="22"/>
  <c r="R40" i="22" s="1"/>
  <c r="Q24" i="22"/>
  <c r="Q40" i="22" s="1"/>
  <c r="P24" i="22"/>
  <c r="P40" i="22" s="1"/>
  <c r="O24" i="22"/>
  <c r="O40" i="22" s="1"/>
  <c r="N24" i="22"/>
  <c r="N40" i="22" s="1"/>
  <c r="M24" i="22"/>
  <c r="M40" i="22" s="1"/>
  <c r="L24" i="22"/>
  <c r="L40" i="22" s="1"/>
  <c r="K24" i="22"/>
  <c r="K40" i="22" s="1"/>
  <c r="J24" i="22"/>
  <c r="J40" i="22" s="1"/>
  <c r="I24" i="22"/>
  <c r="I40" i="22" s="1"/>
  <c r="H24" i="22"/>
  <c r="H40" i="22" s="1"/>
  <c r="G24" i="22"/>
  <c r="G40" i="22" s="1"/>
  <c r="F24" i="22"/>
  <c r="F40" i="22" s="1"/>
  <c r="E24" i="22"/>
  <c r="E40" i="22" s="1"/>
  <c r="V23" i="22"/>
  <c r="V39" i="22" s="1"/>
  <c r="U23" i="22"/>
  <c r="U39" i="22" s="1"/>
  <c r="T23" i="22"/>
  <c r="T39" i="22" s="1"/>
  <c r="S23" i="22"/>
  <c r="S39" i="22" s="1"/>
  <c r="R23" i="22"/>
  <c r="R39" i="22" s="1"/>
  <c r="Q23" i="22"/>
  <c r="Q39" i="22" s="1"/>
  <c r="P23" i="22"/>
  <c r="P39" i="22" s="1"/>
  <c r="O23" i="22"/>
  <c r="O39" i="22" s="1"/>
  <c r="N23" i="22"/>
  <c r="N39" i="22" s="1"/>
  <c r="M23" i="22"/>
  <c r="M39" i="22" s="1"/>
  <c r="L23" i="22"/>
  <c r="L39" i="22" s="1"/>
  <c r="K23" i="22"/>
  <c r="K39" i="22" s="1"/>
  <c r="J23" i="22"/>
  <c r="J39" i="22" s="1"/>
  <c r="I23" i="22"/>
  <c r="I39" i="22" s="1"/>
  <c r="H23" i="22"/>
  <c r="H39" i="22" s="1"/>
  <c r="G23" i="22"/>
  <c r="G39" i="22" s="1"/>
  <c r="F23" i="22"/>
  <c r="F39" i="22" s="1"/>
  <c r="E23" i="22"/>
  <c r="E39" i="22" s="1"/>
  <c r="N85" i="10"/>
  <c r="O85" i="10"/>
  <c r="P85" i="10"/>
  <c r="Q85" i="10"/>
  <c r="R85" i="10"/>
  <c r="S85" i="10"/>
  <c r="T85" i="10"/>
  <c r="U85" i="10"/>
  <c r="M85" i="10"/>
  <c r="D85" i="10"/>
  <c r="E85" i="10"/>
  <c r="F85" i="10"/>
  <c r="G85" i="10"/>
  <c r="H85" i="10"/>
  <c r="I85" i="10"/>
  <c r="J85" i="10"/>
  <c r="K85" i="10"/>
  <c r="C85" i="10"/>
  <c r="N82" i="10"/>
  <c r="O82" i="10"/>
  <c r="P82" i="10"/>
  <c r="Q82" i="10"/>
  <c r="R82" i="10"/>
  <c r="S82" i="10"/>
  <c r="T82" i="10"/>
  <c r="U82" i="10"/>
  <c r="N83" i="10"/>
  <c r="O83" i="10"/>
  <c r="P83" i="10"/>
  <c r="Q83" i="10"/>
  <c r="R83" i="10"/>
  <c r="S83" i="10"/>
  <c r="T83" i="10"/>
  <c r="U83" i="10"/>
  <c r="M83" i="10"/>
  <c r="M82" i="10"/>
  <c r="D82" i="10"/>
  <c r="E82" i="10"/>
  <c r="F82" i="10"/>
  <c r="G82" i="10"/>
  <c r="H82" i="10"/>
  <c r="I82" i="10"/>
  <c r="J82" i="10"/>
  <c r="K82" i="10"/>
  <c r="D83" i="10"/>
  <c r="E83" i="10"/>
  <c r="F83" i="10"/>
  <c r="G83" i="10"/>
  <c r="H83" i="10"/>
  <c r="I83" i="10"/>
  <c r="J83" i="10"/>
  <c r="K83" i="10"/>
  <c r="C83" i="10"/>
  <c r="C82" i="10"/>
  <c r="B85" i="10"/>
  <c r="A85" i="1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E32" i="20"/>
  <c r="F32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E33" i="20"/>
  <c r="F33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E26" i="20"/>
  <c r="A27" i="20"/>
  <c r="B27" i="20"/>
  <c r="A28" i="20"/>
  <c r="B28" i="20"/>
  <c r="A29" i="20"/>
  <c r="A45" i="20" s="1"/>
  <c r="B29" i="20"/>
  <c r="A30" i="20"/>
  <c r="B30" i="20"/>
  <c r="B46" i="20" s="1"/>
  <c r="A31" i="20"/>
  <c r="B31" i="20"/>
  <c r="A32" i="20"/>
  <c r="B32" i="20"/>
  <c r="A33" i="20"/>
  <c r="A49" i="20" s="1"/>
  <c r="B33" i="20"/>
  <c r="A47" i="20"/>
  <c r="A44" i="20"/>
  <c r="A46" i="20"/>
  <c r="B48" i="20"/>
  <c r="B26" i="20"/>
  <c r="B42" i="20" s="1"/>
  <c r="A26" i="20"/>
  <c r="A42" i="20" s="1"/>
  <c r="A8" i="20"/>
  <c r="A9" i="20"/>
  <c r="A10" i="20"/>
  <c r="A11" i="20"/>
  <c r="A12" i="20"/>
  <c r="A13" i="20"/>
  <c r="A14" i="20"/>
  <c r="A7" i="20"/>
  <c r="B49" i="20"/>
  <c r="A48" i="20"/>
  <c r="B47" i="20"/>
  <c r="B45" i="20"/>
  <c r="B44" i="20"/>
  <c r="B43" i="20"/>
  <c r="A43" i="20"/>
  <c r="V24" i="20"/>
  <c r="V40" i="20" s="1"/>
  <c r="U24" i="20"/>
  <c r="U40" i="20" s="1"/>
  <c r="T24" i="20"/>
  <c r="T40" i="20" s="1"/>
  <c r="S24" i="20"/>
  <c r="S40" i="20" s="1"/>
  <c r="R24" i="20"/>
  <c r="R40" i="20" s="1"/>
  <c r="Q24" i="20"/>
  <c r="Q40" i="20" s="1"/>
  <c r="P24" i="20"/>
  <c r="P40" i="20" s="1"/>
  <c r="O24" i="20"/>
  <c r="O40" i="20" s="1"/>
  <c r="N24" i="20"/>
  <c r="N40" i="20" s="1"/>
  <c r="M24" i="20"/>
  <c r="M40" i="20" s="1"/>
  <c r="L24" i="20"/>
  <c r="L40" i="20" s="1"/>
  <c r="K24" i="20"/>
  <c r="K40" i="20" s="1"/>
  <c r="J24" i="20"/>
  <c r="J40" i="20" s="1"/>
  <c r="I24" i="20"/>
  <c r="I40" i="20" s="1"/>
  <c r="H24" i="20"/>
  <c r="H40" i="20" s="1"/>
  <c r="G24" i="20"/>
  <c r="G40" i="20" s="1"/>
  <c r="F24" i="20"/>
  <c r="F40" i="20" s="1"/>
  <c r="E24" i="20"/>
  <c r="E40" i="20" s="1"/>
  <c r="V23" i="20"/>
  <c r="V39" i="20" s="1"/>
  <c r="U23" i="20"/>
  <c r="U39" i="20" s="1"/>
  <c r="T23" i="20"/>
  <c r="T39" i="20" s="1"/>
  <c r="S23" i="20"/>
  <c r="S39" i="20" s="1"/>
  <c r="R23" i="20"/>
  <c r="R39" i="20" s="1"/>
  <c r="Q23" i="20"/>
  <c r="Q39" i="20" s="1"/>
  <c r="P23" i="20"/>
  <c r="P39" i="20" s="1"/>
  <c r="O23" i="20"/>
  <c r="O39" i="20" s="1"/>
  <c r="N23" i="20"/>
  <c r="N39" i="20" s="1"/>
  <c r="M23" i="20"/>
  <c r="M39" i="20" s="1"/>
  <c r="L23" i="20"/>
  <c r="L39" i="20" s="1"/>
  <c r="K23" i="20"/>
  <c r="K39" i="20" s="1"/>
  <c r="J23" i="20"/>
  <c r="J39" i="20" s="1"/>
  <c r="I23" i="20"/>
  <c r="I39" i="20" s="1"/>
  <c r="H23" i="20"/>
  <c r="H39" i="20" s="1"/>
  <c r="G23" i="20"/>
  <c r="G39" i="20" s="1"/>
  <c r="F23" i="20"/>
  <c r="F39" i="20" s="1"/>
  <c r="E23" i="20"/>
  <c r="E39" i="20" s="1"/>
  <c r="A99" i="19"/>
  <c r="B99" i="19"/>
  <c r="A100" i="19"/>
  <c r="B100" i="19"/>
  <c r="A101" i="19"/>
  <c r="B101" i="19"/>
  <c r="A102" i="19"/>
  <c r="B102" i="19"/>
  <c r="A103" i="19"/>
  <c r="B103" i="19"/>
  <c r="A104" i="19"/>
  <c r="B104" i="19"/>
  <c r="A105" i="19"/>
  <c r="B105" i="19"/>
  <c r="A106" i="19"/>
  <c r="B106" i="19"/>
  <c r="F23" i="1"/>
  <c r="F39" i="1" s="1"/>
  <c r="G23" i="1"/>
  <c r="G39" i="1" s="1"/>
  <c r="H23" i="1"/>
  <c r="H39" i="1" s="1"/>
  <c r="I23" i="1"/>
  <c r="I39" i="1" s="1"/>
  <c r="J23" i="1"/>
  <c r="J39" i="1" s="1"/>
  <c r="K23" i="1"/>
  <c r="K39" i="1" s="1"/>
  <c r="L23" i="1"/>
  <c r="L39" i="1" s="1"/>
  <c r="M23" i="1"/>
  <c r="M39" i="1" s="1"/>
  <c r="N23" i="1"/>
  <c r="N39" i="1" s="1"/>
  <c r="O23" i="1"/>
  <c r="O39" i="1" s="1"/>
  <c r="P23" i="1"/>
  <c r="P39" i="1" s="1"/>
  <c r="Q23" i="1"/>
  <c r="Q39" i="1" s="1"/>
  <c r="R23" i="1"/>
  <c r="R39" i="1" s="1"/>
  <c r="S23" i="1"/>
  <c r="S39" i="1" s="1"/>
  <c r="T23" i="1"/>
  <c r="T39" i="1" s="1"/>
  <c r="U23" i="1"/>
  <c r="U39" i="1" s="1"/>
  <c r="V23" i="1"/>
  <c r="V39" i="1" s="1"/>
  <c r="F24" i="1"/>
  <c r="F40" i="1" s="1"/>
  <c r="G24" i="1"/>
  <c r="G40" i="1" s="1"/>
  <c r="H24" i="1"/>
  <c r="H40" i="1" s="1"/>
  <c r="I24" i="1"/>
  <c r="I40" i="1" s="1"/>
  <c r="J24" i="1"/>
  <c r="J40" i="1" s="1"/>
  <c r="K24" i="1"/>
  <c r="K40" i="1" s="1"/>
  <c r="L24" i="1"/>
  <c r="L40" i="1" s="1"/>
  <c r="M24" i="1"/>
  <c r="M40" i="1" s="1"/>
  <c r="N24" i="1"/>
  <c r="N40" i="1" s="1"/>
  <c r="O24" i="1"/>
  <c r="O40" i="1" s="1"/>
  <c r="P24" i="1"/>
  <c r="P40" i="1" s="1"/>
  <c r="Q24" i="1"/>
  <c r="Q40" i="1" s="1"/>
  <c r="R24" i="1"/>
  <c r="R40" i="1" s="1"/>
  <c r="S24" i="1"/>
  <c r="S40" i="1" s="1"/>
  <c r="T24" i="1"/>
  <c r="T40" i="1" s="1"/>
  <c r="U24" i="1"/>
  <c r="U40" i="1" s="1"/>
  <c r="V24" i="1"/>
  <c r="V40" i="1" s="1"/>
  <c r="E24" i="1"/>
  <c r="E40" i="1" s="1"/>
  <c r="E23" i="1"/>
  <c r="E39" i="1" s="1"/>
  <c r="F23" i="19"/>
  <c r="F39" i="19" s="1"/>
  <c r="F55" i="19" s="1"/>
  <c r="G23" i="19"/>
  <c r="G39" i="19" s="1"/>
  <c r="G55" i="19" s="1"/>
  <c r="H23" i="19"/>
  <c r="H39" i="19" s="1"/>
  <c r="H55" i="19" s="1"/>
  <c r="I23" i="19"/>
  <c r="I39" i="19" s="1"/>
  <c r="I55" i="19" s="1"/>
  <c r="J23" i="19"/>
  <c r="J39" i="19" s="1"/>
  <c r="J55" i="19" s="1"/>
  <c r="K23" i="19"/>
  <c r="K39" i="19" s="1"/>
  <c r="K55" i="19" s="1"/>
  <c r="L23" i="19"/>
  <c r="L39" i="19" s="1"/>
  <c r="L55" i="19" s="1"/>
  <c r="M23" i="19"/>
  <c r="M39" i="19" s="1"/>
  <c r="M55" i="19" s="1"/>
  <c r="N23" i="19"/>
  <c r="N39" i="19" s="1"/>
  <c r="N55" i="19" s="1"/>
  <c r="O23" i="19"/>
  <c r="O39" i="19" s="1"/>
  <c r="O55" i="19" s="1"/>
  <c r="P23" i="19"/>
  <c r="P39" i="19" s="1"/>
  <c r="P55" i="19" s="1"/>
  <c r="Q23" i="19"/>
  <c r="Q39" i="19" s="1"/>
  <c r="Q55" i="19" s="1"/>
  <c r="R23" i="19"/>
  <c r="R39" i="19" s="1"/>
  <c r="R55" i="19" s="1"/>
  <c r="S23" i="19"/>
  <c r="S39" i="19" s="1"/>
  <c r="S55" i="19" s="1"/>
  <c r="T23" i="19"/>
  <c r="T39" i="19" s="1"/>
  <c r="T55" i="19" s="1"/>
  <c r="U23" i="19"/>
  <c r="U39" i="19" s="1"/>
  <c r="U55" i="19" s="1"/>
  <c r="V23" i="19"/>
  <c r="V39" i="19" s="1"/>
  <c r="V55" i="19" s="1"/>
  <c r="F24" i="19"/>
  <c r="F40" i="19" s="1"/>
  <c r="F56" i="19" s="1"/>
  <c r="G24" i="19"/>
  <c r="G40" i="19" s="1"/>
  <c r="G56" i="19" s="1"/>
  <c r="H24" i="19"/>
  <c r="H40" i="19" s="1"/>
  <c r="H56" i="19" s="1"/>
  <c r="I24" i="19"/>
  <c r="I40" i="19" s="1"/>
  <c r="I56" i="19" s="1"/>
  <c r="J24" i="19"/>
  <c r="J40" i="19" s="1"/>
  <c r="J56" i="19" s="1"/>
  <c r="K24" i="19"/>
  <c r="K40" i="19" s="1"/>
  <c r="K56" i="19" s="1"/>
  <c r="L24" i="19"/>
  <c r="L40" i="19" s="1"/>
  <c r="L56" i="19" s="1"/>
  <c r="M24" i="19"/>
  <c r="M40" i="19" s="1"/>
  <c r="M56" i="19" s="1"/>
  <c r="N24" i="19"/>
  <c r="N40" i="19" s="1"/>
  <c r="N56" i="19" s="1"/>
  <c r="O24" i="19"/>
  <c r="O40" i="19" s="1"/>
  <c r="O56" i="19" s="1"/>
  <c r="P24" i="19"/>
  <c r="P40" i="19" s="1"/>
  <c r="P56" i="19" s="1"/>
  <c r="Q24" i="19"/>
  <c r="Q40" i="19" s="1"/>
  <c r="Q56" i="19" s="1"/>
  <c r="R24" i="19"/>
  <c r="R40" i="19" s="1"/>
  <c r="R56" i="19" s="1"/>
  <c r="S24" i="19"/>
  <c r="S40" i="19" s="1"/>
  <c r="S56" i="19" s="1"/>
  <c r="T24" i="19"/>
  <c r="T40" i="19" s="1"/>
  <c r="T56" i="19" s="1"/>
  <c r="U24" i="19"/>
  <c r="U40" i="19" s="1"/>
  <c r="U56" i="19" s="1"/>
  <c r="V24" i="19"/>
  <c r="V40" i="19" s="1"/>
  <c r="V56" i="19" s="1"/>
  <c r="E24" i="19"/>
  <c r="E40" i="19" s="1"/>
  <c r="E56" i="19" s="1"/>
  <c r="E23" i="19"/>
  <c r="E39" i="19" s="1"/>
  <c r="E55" i="19" s="1"/>
  <c r="B27" i="19"/>
  <c r="B43" i="19" s="1"/>
  <c r="B28" i="19"/>
  <c r="B44" i="19" s="1"/>
  <c r="B29" i="19"/>
  <c r="B45" i="19" s="1"/>
  <c r="B30" i="19"/>
  <c r="B46" i="19" s="1"/>
  <c r="B31" i="19"/>
  <c r="B47" i="19" s="1"/>
  <c r="B32" i="19"/>
  <c r="B48" i="19" s="1"/>
  <c r="B33" i="19"/>
  <c r="B49" i="19" s="1"/>
  <c r="B26" i="19"/>
  <c r="B42" i="19" s="1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E26" i="19"/>
  <c r="A33" i="19"/>
  <c r="A49" i="19" s="1"/>
  <c r="A65" i="19" s="1"/>
  <c r="A32" i="19"/>
  <c r="A48" i="19" s="1"/>
  <c r="A64" i="19" s="1"/>
  <c r="A31" i="19"/>
  <c r="A47" i="19" s="1"/>
  <c r="A63" i="19" s="1"/>
  <c r="A30" i="19"/>
  <c r="A46" i="19" s="1"/>
  <c r="A62" i="19" s="1"/>
  <c r="A29" i="19"/>
  <c r="A45" i="19" s="1"/>
  <c r="A61" i="19" s="1"/>
  <c r="A28" i="19"/>
  <c r="A44" i="19" s="1"/>
  <c r="A60" i="19" s="1"/>
  <c r="A27" i="19"/>
  <c r="A43" i="19" s="1"/>
  <c r="A59" i="19" s="1"/>
  <c r="A26" i="19"/>
  <c r="A42" i="19" s="1"/>
  <c r="A58" i="19" s="1"/>
  <c r="A14" i="19"/>
  <c r="A13" i="19"/>
  <c r="A12" i="19"/>
  <c r="A11" i="19"/>
  <c r="A10" i="19"/>
  <c r="A9" i="19"/>
  <c r="A8" i="19"/>
  <c r="A7" i="19"/>
  <c r="B20" i="14"/>
  <c r="B21" i="14"/>
  <c r="B22" i="14"/>
  <c r="B23" i="14"/>
  <c r="B24" i="14"/>
  <c r="B25" i="14"/>
  <c r="B26" i="14"/>
  <c r="B19" i="14"/>
  <c r="C36" i="26" l="1"/>
  <c r="D36" i="26"/>
  <c r="D35" i="26"/>
  <c r="E35" i="26"/>
  <c r="F35" i="26"/>
  <c r="B35" i="26"/>
  <c r="C35" i="26"/>
  <c r="G35" i="26"/>
  <c r="H35" i="26"/>
  <c r="C38" i="26"/>
  <c r="G38" i="26"/>
  <c r="F38" i="26"/>
  <c r="D38" i="26"/>
  <c r="H38" i="26"/>
  <c r="E38" i="26"/>
  <c r="B38" i="26"/>
  <c r="E37" i="26"/>
  <c r="B37" i="26"/>
  <c r="F37" i="26"/>
  <c r="H37" i="26"/>
  <c r="C37" i="26"/>
  <c r="G37" i="26"/>
  <c r="D37" i="26"/>
  <c r="E36" i="26"/>
  <c r="B36" i="26"/>
  <c r="C40" i="26"/>
  <c r="G40" i="26"/>
  <c r="B40" i="26"/>
  <c r="D40" i="26"/>
  <c r="H40" i="26"/>
  <c r="E40" i="26"/>
  <c r="F40" i="26"/>
  <c r="E39" i="26"/>
  <c r="F39" i="26"/>
  <c r="B39" i="26"/>
  <c r="H39" i="26"/>
  <c r="C39" i="26"/>
  <c r="G39" i="26"/>
  <c r="D39" i="26"/>
  <c r="C42" i="26"/>
  <c r="G42" i="26"/>
  <c r="D42" i="26"/>
  <c r="H42" i="26"/>
  <c r="E42" i="26"/>
  <c r="B42" i="26"/>
  <c r="F42" i="26"/>
  <c r="E41" i="26"/>
  <c r="H41" i="26"/>
  <c r="F41" i="26"/>
  <c r="D41" i="26"/>
  <c r="B41" i="26"/>
  <c r="C41" i="26"/>
  <c r="G41" i="26"/>
  <c r="F36" i="26"/>
  <c r="G36" i="26"/>
  <c r="H36" i="26"/>
  <c r="V82" i="10"/>
  <c r="L82" i="10"/>
  <c r="T24" i="24"/>
  <c r="T36" i="24" s="1"/>
  <c r="V47" i="23" s="1"/>
  <c r="P24" i="24"/>
  <c r="P36" i="24" s="1"/>
  <c r="R47" i="23" s="1"/>
  <c r="L24" i="24"/>
  <c r="L36" i="24" s="1"/>
  <c r="N47" i="23" s="1"/>
  <c r="H24" i="24"/>
  <c r="H36" i="24" s="1"/>
  <c r="J47" i="23" s="1"/>
  <c r="D24" i="24"/>
  <c r="D36" i="24" s="1"/>
  <c r="F47" i="23" s="1"/>
  <c r="S24" i="24"/>
  <c r="S36" i="24" s="1"/>
  <c r="U47" i="23" s="1"/>
  <c r="N24" i="24"/>
  <c r="N36" i="24" s="1"/>
  <c r="P47" i="23" s="1"/>
  <c r="I24" i="24"/>
  <c r="I36" i="24" s="1"/>
  <c r="K47" i="23" s="1"/>
  <c r="C24" i="24"/>
  <c r="C36" i="24" s="1"/>
  <c r="E47" i="23" s="1"/>
  <c r="J24" i="24"/>
  <c r="J36" i="24" s="1"/>
  <c r="L47" i="23" s="1"/>
  <c r="Q24" i="24"/>
  <c r="Q36" i="24" s="1"/>
  <c r="S47" i="23" s="1"/>
  <c r="T21" i="24"/>
  <c r="T33" i="24" s="1"/>
  <c r="P21" i="24"/>
  <c r="P33" i="24" s="1"/>
  <c r="L21" i="24"/>
  <c r="L33" i="24" s="1"/>
  <c r="H21" i="24"/>
  <c r="H33" i="24" s="1"/>
  <c r="D21" i="24"/>
  <c r="D33" i="24" s="1"/>
  <c r="O21" i="24"/>
  <c r="O33" i="24" s="1"/>
  <c r="J21" i="24"/>
  <c r="J33" i="24" s="1"/>
  <c r="E21" i="24"/>
  <c r="E33" i="24" s="1"/>
  <c r="Q21" i="24"/>
  <c r="Q33" i="24" s="1"/>
  <c r="C21" i="24"/>
  <c r="C33" i="24" s="1"/>
  <c r="K21" i="24"/>
  <c r="K33" i="24" s="1"/>
  <c r="R21" i="24"/>
  <c r="R33" i="24" s="1"/>
  <c r="T19" i="24"/>
  <c r="T31" i="24" s="1"/>
  <c r="P19" i="24"/>
  <c r="P31" i="24" s="1"/>
  <c r="L19" i="24"/>
  <c r="L31" i="24" s="1"/>
  <c r="H19" i="24"/>
  <c r="H31" i="24" s="1"/>
  <c r="D19" i="24"/>
  <c r="D31" i="24" s="1"/>
  <c r="O19" i="24"/>
  <c r="O31" i="24" s="1"/>
  <c r="J19" i="24"/>
  <c r="J31" i="24" s="1"/>
  <c r="E19" i="24"/>
  <c r="E31" i="24" s="1"/>
  <c r="I19" i="24"/>
  <c r="I31" i="24" s="1"/>
  <c r="Q19" i="24"/>
  <c r="Q31" i="24" s="1"/>
  <c r="F21" i="24"/>
  <c r="F33" i="24" s="1"/>
  <c r="M21" i="24"/>
  <c r="M33" i="24" s="1"/>
  <c r="S21" i="24"/>
  <c r="S33" i="24" s="1"/>
  <c r="S23" i="24"/>
  <c r="S35" i="24" s="1"/>
  <c r="O23" i="24"/>
  <c r="O35" i="24" s="1"/>
  <c r="K23" i="24"/>
  <c r="K35" i="24" s="1"/>
  <c r="G23" i="24"/>
  <c r="G35" i="24" s="1"/>
  <c r="C23" i="24"/>
  <c r="C35" i="24" s="1"/>
  <c r="Q23" i="24"/>
  <c r="Q35" i="24" s="1"/>
  <c r="L23" i="24"/>
  <c r="L35" i="24" s="1"/>
  <c r="F23" i="24"/>
  <c r="F35" i="24" s="1"/>
  <c r="I23" i="24"/>
  <c r="I35" i="24" s="1"/>
  <c r="P23" i="24"/>
  <c r="P35" i="24" s="1"/>
  <c r="E24" i="24"/>
  <c r="E36" i="24" s="1"/>
  <c r="G47" i="23" s="1"/>
  <c r="K24" i="24"/>
  <c r="K36" i="24" s="1"/>
  <c r="M47" i="23" s="1"/>
  <c r="R24" i="24"/>
  <c r="R36" i="24" s="1"/>
  <c r="T47" i="23" s="1"/>
  <c r="C19" i="24"/>
  <c r="C31" i="24" s="1"/>
  <c r="K19" i="24"/>
  <c r="K31" i="24" s="1"/>
  <c r="R19" i="24"/>
  <c r="R31" i="24" s="1"/>
  <c r="G21" i="24"/>
  <c r="G33" i="24" s="1"/>
  <c r="N21" i="24"/>
  <c r="N33" i="24" s="1"/>
  <c r="D23" i="24"/>
  <c r="D35" i="24" s="1"/>
  <c r="J23" i="24"/>
  <c r="J35" i="24" s="1"/>
  <c r="R23" i="24"/>
  <c r="R35" i="24" s="1"/>
  <c r="F24" i="24"/>
  <c r="F36" i="24" s="1"/>
  <c r="H47" i="23" s="1"/>
  <c r="M24" i="24"/>
  <c r="M36" i="24" s="1"/>
  <c r="O47" i="23" s="1"/>
  <c r="Q25" i="24"/>
  <c r="Q37" i="24" s="1"/>
  <c r="M25" i="24"/>
  <c r="M37" i="24" s="1"/>
  <c r="I25" i="24"/>
  <c r="I37" i="24" s="1"/>
  <c r="E25" i="24"/>
  <c r="E37" i="24" s="1"/>
  <c r="U37" i="24" s="1"/>
  <c r="P25" i="24"/>
  <c r="P37" i="24" s="1"/>
  <c r="K25" i="24"/>
  <c r="K37" i="24" s="1"/>
  <c r="F25" i="24"/>
  <c r="F37" i="24" s="1"/>
  <c r="H25" i="24"/>
  <c r="H37" i="24" s="1"/>
  <c r="O25" i="24"/>
  <c r="O37" i="24" s="1"/>
  <c r="F20" i="24"/>
  <c r="F32" i="24" s="1"/>
  <c r="J20" i="24"/>
  <c r="J32" i="24" s="1"/>
  <c r="N20" i="24"/>
  <c r="N32" i="24" s="1"/>
  <c r="F22" i="24"/>
  <c r="F34" i="24" s="1"/>
  <c r="J22" i="24"/>
  <c r="J34" i="24" s="1"/>
  <c r="N22" i="24"/>
  <c r="N34" i="24" s="1"/>
  <c r="F26" i="24"/>
  <c r="F38" i="24" s="1"/>
  <c r="J26" i="24"/>
  <c r="J38" i="24" s="1"/>
  <c r="N26" i="24"/>
  <c r="N38" i="24" s="1"/>
  <c r="V85" i="10"/>
  <c r="L85" i="10"/>
  <c r="C22" i="18"/>
  <c r="C23" i="18"/>
  <c r="C24" i="18"/>
  <c r="C25" i="18"/>
  <c r="C26" i="18"/>
  <c r="C27" i="18"/>
  <c r="C28" i="18"/>
  <c r="C29" i="18"/>
  <c r="A22" i="18"/>
  <c r="A23" i="18"/>
  <c r="A24" i="18"/>
  <c r="A25" i="18"/>
  <c r="A26" i="18"/>
  <c r="A27" i="18"/>
  <c r="A28" i="18"/>
  <c r="A29" i="18"/>
  <c r="Z3" i="18"/>
  <c r="Z4" i="18"/>
  <c r="Z5" i="18"/>
  <c r="Z6" i="18"/>
  <c r="Z7" i="18"/>
  <c r="Z8" i="18"/>
  <c r="Z9" i="18"/>
  <c r="Z2" i="18"/>
  <c r="P3" i="18"/>
  <c r="P4" i="18"/>
  <c r="P5" i="18"/>
  <c r="P6" i="18"/>
  <c r="P7" i="18"/>
  <c r="P8" i="18"/>
  <c r="P9" i="18"/>
  <c r="P2" i="18"/>
  <c r="K3" i="18"/>
  <c r="K4" i="18"/>
  <c r="K5" i="18"/>
  <c r="K6" i="18"/>
  <c r="K7" i="18"/>
  <c r="K8" i="18"/>
  <c r="K9" i="18"/>
  <c r="K2" i="18"/>
  <c r="F3" i="18"/>
  <c r="F4" i="18"/>
  <c r="F5" i="18"/>
  <c r="F6" i="18"/>
  <c r="F7" i="18"/>
  <c r="F8" i="18"/>
  <c r="F9" i="18"/>
  <c r="F2" i="18"/>
  <c r="A3" i="18"/>
  <c r="A4" i="18"/>
  <c r="A5" i="18"/>
  <c r="A6" i="18"/>
  <c r="A7" i="18"/>
  <c r="A8" i="18"/>
  <c r="A9" i="18"/>
  <c r="A2" i="18"/>
  <c r="H44" i="26" l="1"/>
  <c r="F44" i="26"/>
  <c r="G44" i="26"/>
  <c r="E44" i="26"/>
  <c r="C44" i="26"/>
  <c r="D44" i="26"/>
  <c r="B44" i="26"/>
  <c r="W82" i="10"/>
  <c r="S45" i="24" a="1"/>
  <c r="S45" i="24" s="1"/>
  <c r="M44" i="24" a="1"/>
  <c r="M44" i="24" s="1"/>
  <c r="F49" i="24" a="1"/>
  <c r="F49" i="24" s="1"/>
  <c r="N44" i="24" a="1"/>
  <c r="N44" i="24" s="1"/>
  <c r="J51" i="24" a="1"/>
  <c r="J51" i="24" s="1"/>
  <c r="J50" i="24" a="1"/>
  <c r="J50" i="24" s="1"/>
  <c r="J49" i="24" a="1"/>
  <c r="J49" i="24" s="1"/>
  <c r="J48" i="24" a="1"/>
  <c r="J48" i="24" s="1"/>
  <c r="J47" i="24" a="1"/>
  <c r="J47" i="24" s="1"/>
  <c r="J46" i="24" a="1"/>
  <c r="J46" i="24" s="1"/>
  <c r="J44" i="24" a="1"/>
  <c r="J44" i="24" s="1"/>
  <c r="J45" i="24" a="1"/>
  <c r="J45" i="24" s="1"/>
  <c r="J61" i="24" s="1" a="1"/>
  <c r="J61" i="24" s="1"/>
  <c r="L104" i="23" s="1"/>
  <c r="L51" i="24" a="1"/>
  <c r="L51" i="24" s="1"/>
  <c r="L50" i="24" a="1"/>
  <c r="L50" i="24" s="1"/>
  <c r="L49" i="24" a="1"/>
  <c r="L49" i="24" s="1"/>
  <c r="L48" i="24" a="1"/>
  <c r="L48" i="24" s="1"/>
  <c r="L47" i="24" a="1"/>
  <c r="L47" i="24" s="1"/>
  <c r="L46" i="24" a="1"/>
  <c r="L46" i="24" s="1"/>
  <c r="L44" i="24" a="1"/>
  <c r="L44" i="24" s="1"/>
  <c r="L45" i="24" a="1"/>
  <c r="L45" i="24" s="1"/>
  <c r="S48" i="24" a="1"/>
  <c r="S48" i="24" s="1"/>
  <c r="U36" i="24"/>
  <c r="W47" i="23" s="1"/>
  <c r="N46" i="24" a="1"/>
  <c r="N46" i="24" s="1"/>
  <c r="N50" i="24" a="1"/>
  <c r="N50" i="24" s="1"/>
  <c r="M51" i="24" a="1"/>
  <c r="M51" i="24" s="1"/>
  <c r="M48" i="24" a="1"/>
  <c r="M48" i="24" s="1"/>
  <c r="G44" i="24" a="1"/>
  <c r="G44" i="24" s="1"/>
  <c r="G51" i="24" a="1"/>
  <c r="G51" i="24" s="1"/>
  <c r="F45" i="24" a="1"/>
  <c r="F45" i="24" s="1"/>
  <c r="F48" i="24" a="1"/>
  <c r="F48" i="24" s="1"/>
  <c r="R51" i="24" a="1"/>
  <c r="R51" i="24" s="1"/>
  <c r="R50" i="24" a="1"/>
  <c r="R50" i="24" s="1"/>
  <c r="R49" i="24" a="1"/>
  <c r="R49" i="24" s="1"/>
  <c r="R48" i="24" a="1"/>
  <c r="R48" i="24" s="1"/>
  <c r="R47" i="24" a="1"/>
  <c r="R47" i="24" s="1"/>
  <c r="R46" i="24" a="1"/>
  <c r="R46" i="24" s="1"/>
  <c r="R61" i="24" s="1" a="1"/>
  <c r="R61" i="24" s="1"/>
  <c r="T104" i="23" s="1"/>
  <c r="R45" i="24" a="1"/>
  <c r="R45" i="24" s="1"/>
  <c r="R44" i="24" a="1"/>
  <c r="R44" i="24" s="1"/>
  <c r="Q50" i="24" a="1"/>
  <c r="Q50" i="24" s="1"/>
  <c r="Q46" i="24" a="1"/>
  <c r="Q46" i="24" s="1"/>
  <c r="Q48" i="24" a="1"/>
  <c r="Q48" i="24" s="1"/>
  <c r="Q47" i="24" a="1"/>
  <c r="Q47" i="24" s="1"/>
  <c r="Q49" i="24" a="1"/>
  <c r="Q49" i="24" s="1"/>
  <c r="Q45" i="24" a="1"/>
  <c r="Q45" i="24" s="1"/>
  <c r="Q51" i="24" a="1"/>
  <c r="Q51" i="24" s="1"/>
  <c r="Q44" i="24" a="1"/>
  <c r="Q44" i="24" s="1"/>
  <c r="O51" i="24" a="1"/>
  <c r="O51" i="24" s="1"/>
  <c r="O47" i="24" a="1"/>
  <c r="O47" i="24" s="1"/>
  <c r="O49" i="24" a="1"/>
  <c r="O49" i="24" s="1"/>
  <c r="O50" i="24" a="1"/>
  <c r="O50" i="24" s="1"/>
  <c r="O44" i="24" a="1"/>
  <c r="O44" i="24" s="1"/>
  <c r="O62" i="24" s="1" a="1"/>
  <c r="O62" i="24" s="1"/>
  <c r="Q105" i="23" s="1"/>
  <c r="O48" i="24" a="1"/>
  <c r="O48" i="24" s="1"/>
  <c r="O46" i="24" a="1"/>
  <c r="O46" i="24" s="1"/>
  <c r="O45" i="24" a="1"/>
  <c r="O45" i="24" s="1"/>
  <c r="O56" i="24" s="1" a="1"/>
  <c r="O56" i="24" s="1"/>
  <c r="Q99" i="23" s="1"/>
  <c r="P51" i="24" a="1"/>
  <c r="P51" i="24" s="1"/>
  <c r="P50" i="24" a="1"/>
  <c r="P50" i="24" s="1"/>
  <c r="P49" i="24" a="1"/>
  <c r="P49" i="24" s="1"/>
  <c r="P48" i="24" a="1"/>
  <c r="P48" i="24" s="1"/>
  <c r="P47" i="24" a="1"/>
  <c r="P47" i="24" s="1"/>
  <c r="P46" i="24" a="1"/>
  <c r="P46" i="24" s="1"/>
  <c r="P45" i="24" a="1"/>
  <c r="P45" i="24" s="1"/>
  <c r="P44" i="24" a="1"/>
  <c r="P44" i="24" s="1"/>
  <c r="U33" i="24"/>
  <c r="U38" i="24"/>
  <c r="S50" i="24" a="1"/>
  <c r="S50" i="24" s="1"/>
  <c r="S49" i="24" a="1"/>
  <c r="S49" i="24" s="1"/>
  <c r="N47" i="24" a="1"/>
  <c r="N47" i="24" s="1"/>
  <c r="N51" i="24" a="1"/>
  <c r="N51" i="24" s="1"/>
  <c r="M45" i="24" a="1"/>
  <c r="M45" i="24" s="1"/>
  <c r="G48" i="24" a="1"/>
  <c r="G48" i="24" s="1"/>
  <c r="G46" i="24" a="1"/>
  <c r="G46" i="24" s="1"/>
  <c r="K49" i="24" a="1"/>
  <c r="K49" i="24" s="1"/>
  <c r="K51" i="24" a="1"/>
  <c r="K51" i="24" s="1"/>
  <c r="K50" i="24" a="1"/>
  <c r="K50" i="24" s="1"/>
  <c r="K45" i="24" a="1"/>
  <c r="K45" i="24" s="1"/>
  <c r="K47" i="24" a="1"/>
  <c r="K47" i="24" s="1"/>
  <c r="K46" i="24" a="1"/>
  <c r="K46" i="24" s="1"/>
  <c r="K44" i="24" a="1"/>
  <c r="K44" i="24" s="1"/>
  <c r="K48" i="24" a="1"/>
  <c r="K48" i="24" s="1"/>
  <c r="I50" i="24" a="1"/>
  <c r="I50" i="24" s="1"/>
  <c r="I46" i="24" a="1"/>
  <c r="I46" i="24" s="1"/>
  <c r="I51" i="24" a="1"/>
  <c r="I51" i="24" s="1"/>
  <c r="I48" i="24" a="1"/>
  <c r="I48" i="24" s="1"/>
  <c r="I47" i="24" a="1"/>
  <c r="I47" i="24" s="1"/>
  <c r="I44" i="24" a="1"/>
  <c r="I44" i="24" s="1"/>
  <c r="I45" i="24" a="1"/>
  <c r="I45" i="24" s="1"/>
  <c r="I60" i="24" s="1" a="1"/>
  <c r="I60" i="24" s="1"/>
  <c r="K103" i="23" s="1"/>
  <c r="I49" i="24" a="1"/>
  <c r="I49" i="24" s="1"/>
  <c r="D51" i="24" a="1"/>
  <c r="D51" i="24" s="1"/>
  <c r="D50" i="24" a="1"/>
  <c r="D50" i="24" s="1"/>
  <c r="D49" i="24" a="1"/>
  <c r="D49" i="24" s="1"/>
  <c r="D48" i="24" a="1"/>
  <c r="D48" i="24" s="1"/>
  <c r="D47" i="24" a="1"/>
  <c r="D47" i="24" s="1"/>
  <c r="D46" i="24" a="1"/>
  <c r="D46" i="24" s="1"/>
  <c r="D44" i="24" a="1"/>
  <c r="D44" i="24" s="1"/>
  <c r="D58" i="24" s="1" a="1"/>
  <c r="D58" i="24" s="1"/>
  <c r="F101" i="23" s="1"/>
  <c r="D45" i="24" a="1"/>
  <c r="D45" i="24" s="1"/>
  <c r="T51" i="24" a="1"/>
  <c r="T51" i="24" s="1"/>
  <c r="T50" i="24" a="1"/>
  <c r="T50" i="24" s="1"/>
  <c r="T49" i="24" a="1"/>
  <c r="T49" i="24" s="1"/>
  <c r="T48" i="24" a="1"/>
  <c r="T48" i="24" s="1"/>
  <c r="T47" i="24" a="1"/>
  <c r="T47" i="24" s="1"/>
  <c r="T46" i="24" a="1"/>
  <c r="T46" i="24" s="1"/>
  <c r="T58" i="24" s="1" a="1"/>
  <c r="T58" i="24" s="1"/>
  <c r="V101" i="23" s="1"/>
  <c r="T45" i="24" a="1"/>
  <c r="T45" i="24" s="1"/>
  <c r="T44" i="24" a="1"/>
  <c r="T44" i="24" s="1"/>
  <c r="S46" i="24" a="1"/>
  <c r="S46" i="24" s="1"/>
  <c r="S51" i="24" a="1"/>
  <c r="S51" i="24" s="1"/>
  <c r="Q61" i="24" a="1"/>
  <c r="Q61" i="24" s="1"/>
  <c r="S104" i="23" s="1"/>
  <c r="N48" i="24" a="1"/>
  <c r="N48" i="24" s="1"/>
  <c r="M46" i="24" a="1"/>
  <c r="M46" i="24" s="1"/>
  <c r="M61" i="24" s="1" a="1"/>
  <c r="M61" i="24" s="1"/>
  <c r="O104" i="23" s="1"/>
  <c r="M49" i="24" a="1"/>
  <c r="M49" i="24" s="1"/>
  <c r="G50" i="24" a="1"/>
  <c r="G50" i="24" s="1"/>
  <c r="G49" i="24" a="1"/>
  <c r="G49" i="24" s="1"/>
  <c r="S44" i="24" a="1"/>
  <c r="S44" i="24" s="1"/>
  <c r="S58" i="24" s="1" a="1"/>
  <c r="S58" i="24" s="1"/>
  <c r="U101" i="23" s="1"/>
  <c r="F46" i="24" a="1"/>
  <c r="F46" i="24" s="1"/>
  <c r="F50" i="24" a="1"/>
  <c r="F50" i="24" s="1"/>
  <c r="C49" i="24" a="1"/>
  <c r="C49" i="24" s="1"/>
  <c r="C51" i="24" a="1"/>
  <c r="C51" i="24" s="1"/>
  <c r="C48" i="24" a="1"/>
  <c r="C48" i="24" s="1"/>
  <c r="C47" i="24" a="1"/>
  <c r="C47" i="24" s="1"/>
  <c r="C46" i="24" a="1"/>
  <c r="C46" i="24" s="1"/>
  <c r="C45" i="24" a="1"/>
  <c r="C45" i="24" s="1"/>
  <c r="U31" i="24"/>
  <c r="C50" i="24" a="1"/>
  <c r="C50" i="24" s="1"/>
  <c r="C44" i="24" a="1"/>
  <c r="C44" i="24" s="1"/>
  <c r="C61" i="24" s="1" a="1"/>
  <c r="C61" i="24" s="1"/>
  <c r="E104" i="23" s="1"/>
  <c r="U35" i="24"/>
  <c r="E48" i="24" a="1"/>
  <c r="E48" i="24" s="1"/>
  <c r="E50" i="24" a="1"/>
  <c r="E50" i="24" s="1"/>
  <c r="E44" i="24" a="1"/>
  <c r="E44" i="24" s="1"/>
  <c r="E56" i="24" s="1" a="1"/>
  <c r="E56" i="24" s="1"/>
  <c r="G99" i="23" s="1"/>
  <c r="E45" i="24" a="1"/>
  <c r="E45" i="24" s="1"/>
  <c r="E49" i="24" a="1"/>
  <c r="E49" i="24" s="1"/>
  <c r="E47" i="24" a="1"/>
  <c r="E47" i="24" s="1"/>
  <c r="E46" i="24" a="1"/>
  <c r="E46" i="24" s="1"/>
  <c r="E51" i="24" a="1"/>
  <c r="E51" i="24" s="1"/>
  <c r="H51" i="24" a="1"/>
  <c r="H51" i="24" s="1"/>
  <c r="H50" i="24" a="1"/>
  <c r="H50" i="24" s="1"/>
  <c r="H49" i="24" a="1"/>
  <c r="H49" i="24" s="1"/>
  <c r="H48" i="24" a="1"/>
  <c r="H48" i="24" s="1"/>
  <c r="H47" i="24" a="1"/>
  <c r="H47" i="24" s="1"/>
  <c r="H46" i="24" a="1"/>
  <c r="H46" i="24" s="1"/>
  <c r="H44" i="24" a="1"/>
  <c r="H44" i="24" s="1"/>
  <c r="H56" i="24" s="1" a="1"/>
  <c r="H56" i="24" s="1"/>
  <c r="J99" i="23" s="1"/>
  <c r="H45" i="24" a="1"/>
  <c r="H45" i="24" s="1"/>
  <c r="R58" i="24" a="1"/>
  <c r="R58" i="24" s="1"/>
  <c r="T101" i="23" s="1"/>
  <c r="U32" i="24"/>
  <c r="Q58" i="24" a="1"/>
  <c r="Q58" i="24" s="1"/>
  <c r="S101" i="23" s="1"/>
  <c r="S47" i="24" a="1"/>
  <c r="S47" i="24" s="1"/>
  <c r="U34" i="24"/>
  <c r="N45" i="24" a="1"/>
  <c r="N45" i="24" s="1"/>
  <c r="N49" i="24" a="1"/>
  <c r="N49" i="24" s="1"/>
  <c r="M47" i="24" a="1"/>
  <c r="M47" i="24" s="1"/>
  <c r="M50" i="24" a="1"/>
  <c r="M50" i="24" s="1"/>
  <c r="G45" i="24" a="1"/>
  <c r="G45" i="24" s="1"/>
  <c r="G47" i="24" a="1"/>
  <c r="G47" i="24" s="1"/>
  <c r="F44" i="24" a="1"/>
  <c r="F44" i="24" s="1"/>
  <c r="F56" i="24" s="1" a="1"/>
  <c r="F56" i="24" s="1"/>
  <c r="H99" i="23" s="1"/>
  <c r="F47" i="24" a="1"/>
  <c r="F47" i="24" s="1"/>
  <c r="F51" i="24" a="1"/>
  <c r="F51" i="24" s="1"/>
  <c r="W85" i="10"/>
  <c r="Y11" i="15"/>
  <c r="Y21" i="15" s="1"/>
  <c r="Y10" i="15"/>
  <c r="Y20" i="15" s="1"/>
  <c r="Y9" i="15"/>
  <c r="Y19" i="15" s="1"/>
  <c r="Y8" i="15"/>
  <c r="Y18" i="15" s="1"/>
  <c r="Y7" i="15"/>
  <c r="Y17" i="15" s="1"/>
  <c r="Y6" i="15"/>
  <c r="Y16" i="15" s="1"/>
  <c r="Y5" i="15"/>
  <c r="Y15" i="15" s="1"/>
  <c r="Y4" i="15"/>
  <c r="Y14" i="15" s="1"/>
  <c r="Y11" i="14"/>
  <c r="Y21" i="14" s="1"/>
  <c r="Y10" i="14"/>
  <c r="Y20" i="14" s="1"/>
  <c r="Y9" i="14"/>
  <c r="Y19" i="14" s="1"/>
  <c r="Y8" i="14"/>
  <c r="Y18" i="14" s="1"/>
  <c r="Y7" i="14"/>
  <c r="Y17" i="14" s="1"/>
  <c r="Y6" i="14"/>
  <c r="Y16" i="14" s="1"/>
  <c r="Y5" i="14"/>
  <c r="Y15" i="14" s="1"/>
  <c r="Y4" i="14"/>
  <c r="Y14" i="14" s="1"/>
  <c r="B20" i="15"/>
  <c r="B21" i="15"/>
  <c r="B22" i="15"/>
  <c r="B23" i="15"/>
  <c r="B24" i="15"/>
  <c r="B25" i="15"/>
  <c r="B26" i="15"/>
  <c r="B19" i="15"/>
  <c r="B20" i="12"/>
  <c r="B32" i="12" s="1"/>
  <c r="B44" i="12" s="1"/>
  <c r="B56" i="12" s="1"/>
  <c r="B21" i="12"/>
  <c r="B33" i="12" s="1"/>
  <c r="B45" i="12" s="1"/>
  <c r="B57" i="12" s="1"/>
  <c r="B22" i="12"/>
  <c r="B34" i="12" s="1"/>
  <c r="B46" i="12" s="1"/>
  <c r="B58" i="12" s="1"/>
  <c r="B23" i="12"/>
  <c r="B35" i="12" s="1"/>
  <c r="B47" i="12" s="1"/>
  <c r="B59" i="12" s="1"/>
  <c r="B24" i="12"/>
  <c r="B36" i="12" s="1"/>
  <c r="B48" i="12" s="1"/>
  <c r="B60" i="12" s="1"/>
  <c r="B25" i="12"/>
  <c r="B37" i="12" s="1"/>
  <c r="B49" i="12" s="1"/>
  <c r="B61" i="12" s="1"/>
  <c r="B26" i="12"/>
  <c r="B38" i="12" s="1"/>
  <c r="B50" i="12" s="1"/>
  <c r="B62" i="12" s="1"/>
  <c r="B19" i="12"/>
  <c r="B31" i="12" s="1"/>
  <c r="B43" i="12" s="1"/>
  <c r="B55" i="12" s="1"/>
  <c r="Y11" i="12"/>
  <c r="Y21" i="12" s="1"/>
  <c r="Y10" i="12"/>
  <c r="Y20" i="12" s="1"/>
  <c r="Y9" i="12"/>
  <c r="Y19" i="12" s="1"/>
  <c r="Y8" i="12"/>
  <c r="Y18" i="12" s="1"/>
  <c r="Y7" i="12"/>
  <c r="Y17" i="12" s="1"/>
  <c r="Y6" i="12"/>
  <c r="Y16" i="12" s="1"/>
  <c r="Y5" i="12"/>
  <c r="Y15" i="12" s="1"/>
  <c r="Y4" i="12"/>
  <c r="Y14" i="12" s="1"/>
  <c r="E26" i="1"/>
  <c r="E27" i="1"/>
  <c r="E28" i="1"/>
  <c r="E29" i="1"/>
  <c r="E30" i="1"/>
  <c r="E31" i="1"/>
  <c r="E32" i="1"/>
  <c r="E33" i="1"/>
  <c r="T56" i="24" l="1" a="1"/>
  <c r="T56" i="24" s="1"/>
  <c r="V99" i="23" s="1"/>
  <c r="P56" i="24" a="1"/>
  <c r="P56" i="24" s="1"/>
  <c r="R99" i="23" s="1"/>
  <c r="L60" i="24" a="1"/>
  <c r="L60" i="24" s="1"/>
  <c r="N103" i="23" s="1"/>
  <c r="P62" i="24" a="1"/>
  <c r="P62" i="24" s="1"/>
  <c r="R105" i="23" s="1"/>
  <c r="O58" i="24" a="1"/>
  <c r="O58" i="24" s="1"/>
  <c r="Q101" i="23" s="1"/>
  <c r="O60" i="24" a="1"/>
  <c r="O60" i="24" s="1"/>
  <c r="Q103" i="23" s="1"/>
  <c r="N63" i="24" a="1"/>
  <c r="N63" i="24" s="1"/>
  <c r="P106" i="23" s="1"/>
  <c r="M63" i="24" a="1"/>
  <c r="M63" i="24" s="1"/>
  <c r="O106" i="23" s="1"/>
  <c r="K56" i="24" a="1"/>
  <c r="K56" i="24" s="1"/>
  <c r="M99" i="23" s="1"/>
  <c r="J58" i="24" a="1"/>
  <c r="J58" i="24" s="1"/>
  <c r="L101" i="23" s="1"/>
  <c r="G60" i="24" a="1"/>
  <c r="G60" i="24" s="1"/>
  <c r="I103" i="23" s="1"/>
  <c r="E62" i="24" a="1"/>
  <c r="E62" i="24" s="1"/>
  <c r="G105" i="23" s="1"/>
  <c r="E61" i="24" a="1"/>
  <c r="E61" i="24" s="1"/>
  <c r="G104" i="23" s="1"/>
  <c r="D61" i="24" a="1"/>
  <c r="D61" i="24" s="1"/>
  <c r="F104" i="23" s="1"/>
  <c r="D56" i="24" a="1"/>
  <c r="D56" i="24" s="1"/>
  <c r="F99" i="23" s="1"/>
  <c r="D60" i="24" a="1"/>
  <c r="D60" i="24" s="1"/>
  <c r="F103" i="23" s="1"/>
  <c r="C60" i="24" a="1"/>
  <c r="C60" i="24" s="1"/>
  <c r="E103" i="23" s="1"/>
  <c r="Q57" i="24" a="1"/>
  <c r="Q57" i="24" s="1"/>
  <c r="S100" i="23" s="1"/>
  <c r="Q63" i="24" a="1"/>
  <c r="Q63" i="24" s="1"/>
  <c r="S106" i="23" s="1"/>
  <c r="Q59" i="24" a="1"/>
  <c r="Q59" i="24" s="1"/>
  <c r="S102" i="23" s="1"/>
  <c r="K62" i="24" a="1"/>
  <c r="K62" i="24" s="1"/>
  <c r="M105" i="23" s="1"/>
  <c r="T61" i="24" a="1"/>
  <c r="T61" i="24" s="1"/>
  <c r="V104" i="23" s="1"/>
  <c r="K61" i="24" a="1"/>
  <c r="K61" i="24" s="1"/>
  <c r="M104" i="23" s="1"/>
  <c r="F62" i="24" a="1"/>
  <c r="F62" i="24" s="1"/>
  <c r="H105" i="23" s="1"/>
  <c r="N60" i="24" a="1"/>
  <c r="N60" i="24" s="1"/>
  <c r="P103" i="23" s="1"/>
  <c r="M60" i="24" a="1"/>
  <c r="M60" i="24" s="1"/>
  <c r="O103" i="23" s="1"/>
  <c r="P61" i="24" a="1"/>
  <c r="P61" i="24" s="1"/>
  <c r="R104" i="23" s="1"/>
  <c r="H57" i="24" a="1"/>
  <c r="H57" i="24" s="1"/>
  <c r="J100" i="23" s="1"/>
  <c r="H63" i="24" a="1"/>
  <c r="H63" i="24" s="1"/>
  <c r="J106" i="23" s="1"/>
  <c r="H59" i="24" a="1"/>
  <c r="H59" i="24" s="1"/>
  <c r="J102" i="23" s="1"/>
  <c r="H60" i="24" a="1"/>
  <c r="H60" i="24" s="1"/>
  <c r="J103" i="23" s="1"/>
  <c r="F58" i="24" a="1"/>
  <c r="F58" i="24" s="1"/>
  <c r="H101" i="23" s="1"/>
  <c r="N58" i="24" a="1"/>
  <c r="N58" i="24" s="1"/>
  <c r="P101" i="23" s="1"/>
  <c r="H62" i="24" a="1"/>
  <c r="H62" i="24" s="1"/>
  <c r="J105" i="23" s="1"/>
  <c r="T62" i="24" a="1"/>
  <c r="T62" i="24" s="1"/>
  <c r="V105" i="23" s="1"/>
  <c r="T63" i="24" a="1"/>
  <c r="T63" i="24" s="1"/>
  <c r="V106" i="23" s="1"/>
  <c r="T59" i="24" a="1"/>
  <c r="T59" i="24" s="1"/>
  <c r="V102" i="23" s="1"/>
  <c r="T60" i="24" a="1"/>
  <c r="T60" i="24" s="1"/>
  <c r="V103" i="23" s="1"/>
  <c r="T57" i="24" a="1"/>
  <c r="T57" i="24" s="1"/>
  <c r="V100" i="23" s="1"/>
  <c r="I63" i="24" a="1"/>
  <c r="I63" i="24" s="1"/>
  <c r="K106" i="23" s="1"/>
  <c r="I59" i="24" a="1"/>
  <c r="I59" i="24" s="1"/>
  <c r="K102" i="23" s="1"/>
  <c r="I58" i="24" a="1"/>
  <c r="I58" i="24" s="1"/>
  <c r="K101" i="23" s="1"/>
  <c r="I57" i="24" a="1"/>
  <c r="I57" i="24" s="1"/>
  <c r="K100" i="23" s="1"/>
  <c r="I56" i="24" a="1"/>
  <c r="I56" i="24" s="1"/>
  <c r="K99" i="23" s="1"/>
  <c r="K59" i="24" a="1"/>
  <c r="K59" i="24" s="1"/>
  <c r="M102" i="23" s="1"/>
  <c r="K57" i="24" a="1"/>
  <c r="K57" i="24" s="1"/>
  <c r="M100" i="23" s="1"/>
  <c r="K63" i="24" a="1"/>
  <c r="K63" i="24" s="1"/>
  <c r="M106" i="23" s="1"/>
  <c r="J60" i="24" a="1"/>
  <c r="J60" i="24" s="1"/>
  <c r="L103" i="23" s="1"/>
  <c r="F57" i="24" a="1"/>
  <c r="F57" i="24" s="1"/>
  <c r="H100" i="23" s="1"/>
  <c r="H61" i="24" a="1"/>
  <c r="H61" i="24" s="1"/>
  <c r="J104" i="23" s="1"/>
  <c r="L58" i="24" a="1"/>
  <c r="L58" i="24" s="1"/>
  <c r="N101" i="23" s="1"/>
  <c r="C58" i="24" a="1"/>
  <c r="C58" i="24" s="1"/>
  <c r="E101" i="23" s="1"/>
  <c r="R62" i="24" a="1"/>
  <c r="R62" i="24" s="1"/>
  <c r="T105" i="23" s="1"/>
  <c r="R59" i="24" a="1"/>
  <c r="R59" i="24" s="1"/>
  <c r="T102" i="23" s="1"/>
  <c r="R63" i="24" a="1"/>
  <c r="R63" i="24" s="1"/>
  <c r="T106" i="23" s="1"/>
  <c r="R57" i="24" a="1"/>
  <c r="R57" i="24" s="1"/>
  <c r="T100" i="23" s="1"/>
  <c r="J57" i="24" a="1"/>
  <c r="J57" i="24" s="1"/>
  <c r="L100" i="23" s="1"/>
  <c r="H58" i="24" a="1"/>
  <c r="H58" i="24" s="1"/>
  <c r="J101" i="23" s="1"/>
  <c r="L57" i="24" a="1"/>
  <c r="L57" i="24" s="1"/>
  <c r="N100" i="23" s="1"/>
  <c r="L63" i="24" a="1"/>
  <c r="L63" i="24" s="1"/>
  <c r="N106" i="23" s="1"/>
  <c r="L59" i="24" a="1"/>
  <c r="L59" i="24" s="1"/>
  <c r="N102" i="23" s="1"/>
  <c r="L62" i="24" a="1"/>
  <c r="L62" i="24" s="1"/>
  <c r="N105" i="23" s="1"/>
  <c r="G58" i="24" a="1"/>
  <c r="G58" i="24" s="1"/>
  <c r="I101" i="23" s="1"/>
  <c r="N57" i="24" a="1"/>
  <c r="N57" i="24" s="1"/>
  <c r="P100" i="23" s="1"/>
  <c r="N62" i="24" a="1"/>
  <c r="N62" i="24" s="1"/>
  <c r="P105" i="23" s="1"/>
  <c r="M56" i="24" a="1"/>
  <c r="M56" i="24" s="1"/>
  <c r="O99" i="23" s="1"/>
  <c r="S56" i="24" a="1"/>
  <c r="S56" i="24" s="1"/>
  <c r="U99" i="23" s="1"/>
  <c r="S57" i="24" a="1"/>
  <c r="S57" i="24" s="1"/>
  <c r="U100" i="23" s="1"/>
  <c r="S59" i="24" a="1"/>
  <c r="S59" i="24" s="1"/>
  <c r="U102" i="23" s="1"/>
  <c r="S62" i="24" a="1"/>
  <c r="S62" i="24" s="1"/>
  <c r="U105" i="23" s="1"/>
  <c r="S63" i="24" a="1"/>
  <c r="S63" i="24" s="1"/>
  <c r="U106" i="23" s="1"/>
  <c r="M58" i="24" a="1"/>
  <c r="M58" i="24" s="1"/>
  <c r="O101" i="23" s="1"/>
  <c r="S61" i="24" a="1"/>
  <c r="S61" i="24" s="1"/>
  <c r="U104" i="23" s="1"/>
  <c r="E60" i="24" a="1"/>
  <c r="E60" i="24" s="1"/>
  <c r="G103" i="23" s="1"/>
  <c r="E57" i="24" a="1"/>
  <c r="E57" i="24" s="1"/>
  <c r="G100" i="23" s="1"/>
  <c r="E63" i="24" a="1"/>
  <c r="E63" i="24" s="1"/>
  <c r="G106" i="23" s="1"/>
  <c r="E59" i="24" a="1"/>
  <c r="E59" i="24" s="1"/>
  <c r="G102" i="23" s="1"/>
  <c r="S60" i="24" a="1"/>
  <c r="S60" i="24" s="1"/>
  <c r="U103" i="23" s="1"/>
  <c r="L61" i="24" a="1"/>
  <c r="L61" i="24" s="1"/>
  <c r="N104" i="23" s="1"/>
  <c r="Q60" i="24" a="1"/>
  <c r="Q60" i="24" s="1"/>
  <c r="S103" i="23" s="1"/>
  <c r="Q62" i="24" a="1"/>
  <c r="Q62" i="24" s="1"/>
  <c r="S105" i="23" s="1"/>
  <c r="J59" i="24" a="1"/>
  <c r="J59" i="24" s="1"/>
  <c r="L102" i="23" s="1"/>
  <c r="I61" i="24" a="1"/>
  <c r="I61" i="24" s="1"/>
  <c r="K104" i="23" s="1"/>
  <c r="O63" i="24" a="1"/>
  <c r="O63" i="24" s="1"/>
  <c r="Q106" i="23" s="1"/>
  <c r="O57" i="24" a="1"/>
  <c r="O57" i="24" s="1"/>
  <c r="Q100" i="23" s="1"/>
  <c r="O61" i="24" a="1"/>
  <c r="O61" i="24" s="1"/>
  <c r="Q104" i="23" s="1"/>
  <c r="O59" i="24" a="1"/>
  <c r="O59" i="24" s="1"/>
  <c r="Q102" i="23" s="1"/>
  <c r="Q56" i="24" a="1"/>
  <c r="Q56" i="24" s="1"/>
  <c r="S99" i="23" s="1"/>
  <c r="K60" i="24" a="1"/>
  <c r="K60" i="24" s="1"/>
  <c r="M103" i="23" s="1"/>
  <c r="R56" i="24" a="1"/>
  <c r="R56" i="24" s="1"/>
  <c r="T99" i="23" s="1"/>
  <c r="R60" i="24" a="1"/>
  <c r="R60" i="24" s="1"/>
  <c r="T103" i="23" s="1"/>
  <c r="N59" i="24" a="1"/>
  <c r="N59" i="24" s="1"/>
  <c r="P102" i="23" s="1"/>
  <c r="E58" i="24" a="1"/>
  <c r="E58" i="24" s="1"/>
  <c r="G101" i="23" s="1"/>
  <c r="L56" i="24" a="1"/>
  <c r="L56" i="24" s="1"/>
  <c r="N99" i="23" s="1"/>
  <c r="J62" i="24" a="1"/>
  <c r="J62" i="24" s="1"/>
  <c r="L105" i="23" s="1"/>
  <c r="F61" i="24" a="1"/>
  <c r="F61" i="24" s="1"/>
  <c r="H104" i="23" s="1"/>
  <c r="F63" i="24" a="1"/>
  <c r="F63" i="24" s="1"/>
  <c r="H106" i="23" s="1"/>
  <c r="N56" i="24" a="1"/>
  <c r="N56" i="24" s="1"/>
  <c r="P99" i="23" s="1"/>
  <c r="M59" i="24" a="1"/>
  <c r="M59" i="24" s="1"/>
  <c r="O102" i="23" s="1"/>
  <c r="C59" i="24" a="1"/>
  <c r="C59" i="24" s="1"/>
  <c r="E102" i="23" s="1"/>
  <c r="C63" i="24" a="1"/>
  <c r="C63" i="24" s="1"/>
  <c r="E106" i="23" s="1"/>
  <c r="C57" i="24" a="1"/>
  <c r="C57" i="24" s="1"/>
  <c r="E100" i="23" s="1"/>
  <c r="C62" i="24" a="1"/>
  <c r="C62" i="24" s="1"/>
  <c r="E105" i="23" s="1"/>
  <c r="C56" i="24" a="1"/>
  <c r="C56" i="24" s="1"/>
  <c r="E99" i="23" s="1"/>
  <c r="N61" i="24" a="1"/>
  <c r="N61" i="24" s="1"/>
  <c r="P104" i="23" s="1"/>
  <c r="P58" i="24" a="1"/>
  <c r="P58" i="24" s="1"/>
  <c r="R101" i="23" s="1"/>
  <c r="D57" i="24" a="1"/>
  <c r="D57" i="24" s="1"/>
  <c r="F100" i="23" s="1"/>
  <c r="D62" i="24" a="1"/>
  <c r="D62" i="24" s="1"/>
  <c r="F105" i="23" s="1"/>
  <c r="D63" i="24" a="1"/>
  <c r="D63" i="24" s="1"/>
  <c r="F106" i="23" s="1"/>
  <c r="D59" i="24" a="1"/>
  <c r="D59" i="24" s="1"/>
  <c r="F102" i="23" s="1"/>
  <c r="P60" i="24" a="1"/>
  <c r="P60" i="24" s="1"/>
  <c r="R103" i="23" s="1"/>
  <c r="P63" i="24" a="1"/>
  <c r="P63" i="24" s="1"/>
  <c r="R106" i="23" s="1"/>
  <c r="P57" i="24" a="1"/>
  <c r="P57" i="24" s="1"/>
  <c r="R100" i="23" s="1"/>
  <c r="P59" i="24" a="1"/>
  <c r="P59" i="24" s="1"/>
  <c r="R102" i="23" s="1"/>
  <c r="M62" i="24" a="1"/>
  <c r="M62" i="24" s="1"/>
  <c r="O105" i="23" s="1"/>
  <c r="F59" i="24" a="1"/>
  <c r="F59" i="24" s="1"/>
  <c r="H102" i="23" s="1"/>
  <c r="G62" i="24" a="1"/>
  <c r="G62" i="24" s="1"/>
  <c r="I105" i="23" s="1"/>
  <c r="G57" i="24" a="1"/>
  <c r="G57" i="24" s="1"/>
  <c r="I100" i="23" s="1"/>
  <c r="G61" i="24" a="1"/>
  <c r="G61" i="24" s="1"/>
  <c r="I104" i="23" s="1"/>
  <c r="G59" i="24" a="1"/>
  <c r="G59" i="24" s="1"/>
  <c r="I102" i="23" s="1"/>
  <c r="G56" i="24" a="1"/>
  <c r="G56" i="24" s="1"/>
  <c r="I99" i="23" s="1"/>
  <c r="G63" i="24" a="1"/>
  <c r="G63" i="24" s="1"/>
  <c r="I106" i="23" s="1"/>
  <c r="K58" i="24" a="1"/>
  <c r="K58" i="24" s="1"/>
  <c r="M101" i="23" s="1"/>
  <c r="J56" i="24" a="1"/>
  <c r="J56" i="24" s="1"/>
  <c r="L99" i="23" s="1"/>
  <c r="F60" i="24" a="1"/>
  <c r="F60" i="24" s="1"/>
  <c r="H103" i="23" s="1"/>
  <c r="I62" i="24" a="1"/>
  <c r="I62" i="24" s="1"/>
  <c r="K105" i="23" s="1"/>
  <c r="J63" i="24" a="1"/>
  <c r="J63" i="24" s="1"/>
  <c r="L106" i="23" s="1"/>
  <c r="M57" i="24" a="1"/>
  <c r="M57" i="24" s="1"/>
  <c r="O100" i="23" s="1"/>
  <c r="B20" i="11"/>
  <c r="B21" i="11"/>
  <c r="B22" i="11"/>
  <c r="B23" i="11"/>
  <c r="B24" i="11"/>
  <c r="B25" i="11"/>
  <c r="B26" i="11"/>
  <c r="F23" i="11"/>
  <c r="F35" i="11" s="1"/>
  <c r="H46" i="19" s="1"/>
  <c r="B19" i="11"/>
  <c r="C19" i="11" s="1"/>
  <c r="C31" i="11" s="1"/>
  <c r="E42" i="19" s="1"/>
  <c r="B57" i="11"/>
  <c r="B58" i="11"/>
  <c r="B59" i="11"/>
  <c r="B60" i="11"/>
  <c r="B61" i="11"/>
  <c r="B62" i="11"/>
  <c r="B63" i="11"/>
  <c r="B56" i="11"/>
  <c r="Y4" i="11"/>
  <c r="Y5" i="11"/>
  <c r="Y6" i="11"/>
  <c r="U7" i="11"/>
  <c r="W26" i="19" s="1"/>
  <c r="Y7" i="11"/>
  <c r="U8" i="11"/>
  <c r="Y8" i="11"/>
  <c r="U9" i="11"/>
  <c r="W28" i="19" s="1"/>
  <c r="Y9" i="11"/>
  <c r="U10" i="11"/>
  <c r="W29" i="19" s="1"/>
  <c r="Y10" i="11"/>
  <c r="U11" i="11"/>
  <c r="W30" i="19" s="1"/>
  <c r="Y11" i="11"/>
  <c r="U12" i="11"/>
  <c r="W31" i="19" s="1"/>
  <c r="U13" i="11"/>
  <c r="W32" i="19" s="1"/>
  <c r="U14" i="11"/>
  <c r="W33" i="19" s="1"/>
  <c r="Y14" i="11"/>
  <c r="Y15" i="11"/>
  <c r="Y16" i="11"/>
  <c r="Y17" i="11"/>
  <c r="Y18" i="11"/>
  <c r="E19" i="11"/>
  <c r="E31" i="11" s="1"/>
  <c r="G42" i="19" s="1"/>
  <c r="F19" i="11"/>
  <c r="F31" i="11" s="1"/>
  <c r="H42" i="19" s="1"/>
  <c r="G19" i="11"/>
  <c r="G31" i="11" s="1"/>
  <c r="I42" i="19" s="1"/>
  <c r="H19" i="11"/>
  <c r="I19" i="11"/>
  <c r="I31" i="11" s="1"/>
  <c r="K42" i="19" s="1"/>
  <c r="J19" i="11"/>
  <c r="K19" i="11"/>
  <c r="L19" i="11"/>
  <c r="M19" i="11"/>
  <c r="M31" i="11" s="1"/>
  <c r="O42" i="19" s="1"/>
  <c r="N19" i="11"/>
  <c r="N31" i="11" s="1"/>
  <c r="P42" i="19" s="1"/>
  <c r="O19" i="11"/>
  <c r="P19" i="11"/>
  <c r="Q19" i="11"/>
  <c r="Q31" i="11" s="1"/>
  <c r="S42" i="19" s="1"/>
  <c r="R19" i="11"/>
  <c r="R31" i="11" s="1"/>
  <c r="T42" i="19" s="1"/>
  <c r="S19" i="11"/>
  <c r="T19" i="11"/>
  <c r="Y19" i="11"/>
  <c r="E20" i="11"/>
  <c r="E32" i="11" s="1"/>
  <c r="F20" i="11"/>
  <c r="F32" i="11" s="1"/>
  <c r="G20" i="11"/>
  <c r="J20" i="11"/>
  <c r="K20" i="11"/>
  <c r="N20" i="11"/>
  <c r="N32" i="11" s="1"/>
  <c r="P43" i="19" s="1"/>
  <c r="O20" i="11"/>
  <c r="R20" i="11"/>
  <c r="S20" i="11"/>
  <c r="Y20" i="11"/>
  <c r="C21" i="11"/>
  <c r="D21" i="11"/>
  <c r="D33" i="11" s="1"/>
  <c r="E21" i="11"/>
  <c r="F21" i="11"/>
  <c r="F33" i="11" s="1"/>
  <c r="H44" i="19" s="1"/>
  <c r="G21" i="11"/>
  <c r="H21" i="11"/>
  <c r="H33" i="11" s="1"/>
  <c r="J44" i="19" s="1"/>
  <c r="I21" i="11"/>
  <c r="J21" i="11"/>
  <c r="K21" i="11"/>
  <c r="L21" i="11"/>
  <c r="L33" i="11" s="1"/>
  <c r="N44" i="19" s="1"/>
  <c r="M21" i="11"/>
  <c r="N21" i="11"/>
  <c r="N33" i="11" s="1"/>
  <c r="P44" i="19" s="1"/>
  <c r="O21" i="11"/>
  <c r="P21" i="11"/>
  <c r="P33" i="11" s="1"/>
  <c r="R44" i="19" s="1"/>
  <c r="Q21" i="11"/>
  <c r="R21" i="11"/>
  <c r="R33" i="11" s="1"/>
  <c r="T44" i="19" s="1"/>
  <c r="S21" i="11"/>
  <c r="T21" i="11"/>
  <c r="T33" i="11" s="1"/>
  <c r="V44" i="19" s="1"/>
  <c r="Y21" i="11"/>
  <c r="E22" i="11"/>
  <c r="E34" i="11" s="1"/>
  <c r="G45" i="19" s="1"/>
  <c r="C22" i="11"/>
  <c r="C34" i="11" s="1"/>
  <c r="E45" i="19" s="1"/>
  <c r="F22" i="11"/>
  <c r="F34" i="11" s="1"/>
  <c r="H45" i="19" s="1"/>
  <c r="G22" i="11"/>
  <c r="J22" i="11"/>
  <c r="J34" i="11" s="1"/>
  <c r="L45" i="19" s="1"/>
  <c r="K22" i="11"/>
  <c r="N22" i="11"/>
  <c r="N34" i="11" s="1"/>
  <c r="P45" i="19" s="1"/>
  <c r="O22" i="11"/>
  <c r="R22" i="11"/>
  <c r="R34" i="11" s="1"/>
  <c r="T45" i="19" s="1"/>
  <c r="S22" i="11"/>
  <c r="D23" i="11"/>
  <c r="J23" i="11"/>
  <c r="N23" i="11"/>
  <c r="N35" i="11" s="1"/>
  <c r="P46" i="19" s="1"/>
  <c r="R23" i="11"/>
  <c r="C24" i="11"/>
  <c r="C36" i="11" s="1"/>
  <c r="E47" i="19" s="1"/>
  <c r="D24" i="11"/>
  <c r="E24" i="11"/>
  <c r="E36" i="11" s="1"/>
  <c r="G47" i="19" s="1"/>
  <c r="F24" i="11"/>
  <c r="G24" i="11"/>
  <c r="G36" i="11" s="1"/>
  <c r="I47" i="19" s="1"/>
  <c r="H24" i="11"/>
  <c r="I24" i="11"/>
  <c r="I36" i="11" s="1"/>
  <c r="K47" i="19" s="1"/>
  <c r="J24" i="11"/>
  <c r="K24" i="11"/>
  <c r="L24" i="11"/>
  <c r="M24" i="11"/>
  <c r="M36" i="11" s="1"/>
  <c r="O47" i="19" s="1"/>
  <c r="N24" i="11"/>
  <c r="O24" i="11"/>
  <c r="O36" i="11" s="1"/>
  <c r="Q47" i="19" s="1"/>
  <c r="P24" i="11"/>
  <c r="Q24" i="11"/>
  <c r="Q36" i="11" s="1"/>
  <c r="S47" i="19" s="1"/>
  <c r="R24" i="11"/>
  <c r="S24" i="11"/>
  <c r="T24" i="11"/>
  <c r="D25" i="11"/>
  <c r="D37" i="11" s="1"/>
  <c r="F25" i="11"/>
  <c r="J25" i="11"/>
  <c r="J37" i="11" s="1"/>
  <c r="L48" i="19" s="1"/>
  <c r="M25" i="11"/>
  <c r="N25" i="11"/>
  <c r="N37" i="11" s="1"/>
  <c r="P48" i="19" s="1"/>
  <c r="Q25" i="11"/>
  <c r="R25" i="11"/>
  <c r="E26" i="11"/>
  <c r="E38" i="11" s="1"/>
  <c r="G49" i="19" s="1"/>
  <c r="C26" i="11"/>
  <c r="C38" i="11" s="1"/>
  <c r="E49" i="19" s="1"/>
  <c r="F26" i="11"/>
  <c r="F38" i="11" s="1"/>
  <c r="H49" i="19" s="1"/>
  <c r="G26" i="11"/>
  <c r="G38" i="11" s="1"/>
  <c r="I49" i="19" s="1"/>
  <c r="J26" i="11"/>
  <c r="J38" i="11" s="1"/>
  <c r="L49" i="19" s="1"/>
  <c r="K26" i="11"/>
  <c r="N26" i="11"/>
  <c r="N38" i="11" s="1"/>
  <c r="P49" i="19" s="1"/>
  <c r="O26" i="11"/>
  <c r="O38" i="11" s="1"/>
  <c r="Q49" i="19" s="1"/>
  <c r="R26" i="11"/>
  <c r="R38" i="11" s="1"/>
  <c r="T49" i="19" s="1"/>
  <c r="S26" i="11"/>
  <c r="S38" i="11" s="1"/>
  <c r="U49" i="19" s="1"/>
  <c r="H31" i="11"/>
  <c r="J42" i="19" s="1"/>
  <c r="J31" i="11"/>
  <c r="L42" i="19" s="1"/>
  <c r="K31" i="11"/>
  <c r="M42" i="19" s="1"/>
  <c r="L31" i="11"/>
  <c r="N42" i="19" s="1"/>
  <c r="O31" i="11"/>
  <c r="Q42" i="19" s="1"/>
  <c r="P31" i="11"/>
  <c r="R42" i="19" s="1"/>
  <c r="S31" i="11"/>
  <c r="U42" i="19" s="1"/>
  <c r="T31" i="11"/>
  <c r="V42" i="19" s="1"/>
  <c r="G32" i="11"/>
  <c r="J32" i="11"/>
  <c r="K32" i="11"/>
  <c r="M43" i="19" s="1"/>
  <c r="O32" i="11"/>
  <c r="Q43" i="19" s="1"/>
  <c r="R32" i="11"/>
  <c r="T43" i="19" s="1"/>
  <c r="S32" i="11"/>
  <c r="U43" i="19" s="1"/>
  <c r="C33" i="11"/>
  <c r="E44" i="19" s="1"/>
  <c r="E33" i="11"/>
  <c r="G44" i="19" s="1"/>
  <c r="G33" i="11"/>
  <c r="I44" i="19" s="1"/>
  <c r="I33" i="11"/>
  <c r="K44" i="19" s="1"/>
  <c r="J33" i="11"/>
  <c r="L44" i="19" s="1"/>
  <c r="K33" i="11"/>
  <c r="M44" i="19" s="1"/>
  <c r="M33" i="11"/>
  <c r="O44" i="19" s="1"/>
  <c r="O33" i="11"/>
  <c r="Q44" i="19" s="1"/>
  <c r="Q33" i="11"/>
  <c r="S44" i="19" s="1"/>
  <c r="S33" i="11"/>
  <c r="U44" i="19" s="1"/>
  <c r="G34" i="11"/>
  <c r="I45" i="19" s="1"/>
  <c r="K34" i="11"/>
  <c r="M45" i="19" s="1"/>
  <c r="O34" i="11"/>
  <c r="Q45" i="19" s="1"/>
  <c r="S34" i="11"/>
  <c r="U45" i="19" s="1"/>
  <c r="D35" i="11"/>
  <c r="J35" i="11"/>
  <c r="L46" i="19" s="1"/>
  <c r="R35" i="11"/>
  <c r="T46" i="19" s="1"/>
  <c r="D36" i="11"/>
  <c r="F36" i="11"/>
  <c r="H47" i="19" s="1"/>
  <c r="H36" i="11"/>
  <c r="J47" i="19" s="1"/>
  <c r="J36" i="11"/>
  <c r="L47" i="19" s="1"/>
  <c r="K36" i="11"/>
  <c r="M47" i="19" s="1"/>
  <c r="L36" i="11"/>
  <c r="N47" i="19" s="1"/>
  <c r="N36" i="11"/>
  <c r="P47" i="19" s="1"/>
  <c r="P36" i="11"/>
  <c r="R47" i="19" s="1"/>
  <c r="R36" i="11"/>
  <c r="T47" i="19" s="1"/>
  <c r="S36" i="11"/>
  <c r="U47" i="19" s="1"/>
  <c r="T36" i="11"/>
  <c r="V47" i="19" s="1"/>
  <c r="F37" i="11"/>
  <c r="H48" i="19" s="1"/>
  <c r="M37" i="11"/>
  <c r="O48" i="19" s="1"/>
  <c r="Q37" i="11"/>
  <c r="S48" i="19" s="1"/>
  <c r="R37" i="11"/>
  <c r="T48" i="19" s="1"/>
  <c r="K38" i="11"/>
  <c r="M49" i="19" s="1"/>
  <c r="A27" i="1"/>
  <c r="A43" i="1" s="1"/>
  <c r="A28" i="1"/>
  <c r="A44" i="1" s="1"/>
  <c r="A29" i="1"/>
  <c r="A45" i="1" s="1"/>
  <c r="A30" i="1"/>
  <c r="A46" i="1" s="1"/>
  <c r="A31" i="1"/>
  <c r="A47" i="1" s="1"/>
  <c r="A32" i="1"/>
  <c r="A48" i="1" s="1"/>
  <c r="A33" i="1"/>
  <c r="A49" i="1" s="1"/>
  <c r="A26" i="1"/>
  <c r="A42" i="1" s="1"/>
  <c r="B27" i="1"/>
  <c r="B43" i="1" s="1"/>
  <c r="B28" i="1"/>
  <c r="B44" i="1" s="1"/>
  <c r="B29" i="1"/>
  <c r="B45" i="1" s="1"/>
  <c r="B30" i="1"/>
  <c r="B46" i="1" s="1"/>
  <c r="B31" i="1"/>
  <c r="B47" i="1" s="1"/>
  <c r="B32" i="1"/>
  <c r="B48" i="1" s="1"/>
  <c r="B33" i="1"/>
  <c r="B49" i="1" s="1"/>
  <c r="B26" i="1"/>
  <c r="B42" i="1" s="1"/>
  <c r="A8" i="1"/>
  <c r="A9" i="1"/>
  <c r="A10" i="1"/>
  <c r="A11" i="1"/>
  <c r="A12" i="1"/>
  <c r="A13" i="1"/>
  <c r="A14" i="1"/>
  <c r="A7" i="1"/>
  <c r="Y15" i="10"/>
  <c r="Y16" i="10"/>
  <c r="Y17" i="10"/>
  <c r="Y18" i="10"/>
  <c r="Y19" i="10"/>
  <c r="Y20" i="10"/>
  <c r="Y21" i="10"/>
  <c r="Y14" i="10"/>
  <c r="Y5" i="10"/>
  <c r="Y6" i="10"/>
  <c r="Y7" i="10"/>
  <c r="Y8" i="10"/>
  <c r="Y9" i="10"/>
  <c r="Y10" i="10"/>
  <c r="Y11" i="10"/>
  <c r="Y4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B55" i="10"/>
  <c r="A55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B43" i="10"/>
  <c r="A43" i="10"/>
  <c r="A32" i="10"/>
  <c r="A33" i="10"/>
  <c r="A34" i="10"/>
  <c r="A35" i="10"/>
  <c r="A36" i="10"/>
  <c r="A37" i="10"/>
  <c r="A38" i="10"/>
  <c r="A31" i="10"/>
  <c r="A20" i="10"/>
  <c r="B20" i="10"/>
  <c r="G20" i="10" s="1"/>
  <c r="G32" i="10" s="1"/>
  <c r="G44" i="10" s="1"/>
  <c r="G56" i="10" s="1"/>
  <c r="A21" i="10"/>
  <c r="B21" i="10"/>
  <c r="B33" i="10" s="1"/>
  <c r="A22" i="10"/>
  <c r="B22" i="10"/>
  <c r="F22" i="10" s="1"/>
  <c r="F34" i="10" s="1"/>
  <c r="F46" i="10" s="1"/>
  <c r="F58" i="10" s="1"/>
  <c r="A23" i="10"/>
  <c r="B23" i="10"/>
  <c r="B35" i="10" s="1"/>
  <c r="A24" i="10"/>
  <c r="B24" i="10"/>
  <c r="F24" i="10" s="1"/>
  <c r="F36" i="10" s="1"/>
  <c r="F48" i="10" s="1"/>
  <c r="F60" i="10" s="1"/>
  <c r="A25" i="10"/>
  <c r="B25" i="10"/>
  <c r="B37" i="10" s="1"/>
  <c r="A26" i="10"/>
  <c r="B26" i="10"/>
  <c r="F26" i="10" s="1"/>
  <c r="F38" i="10" s="1"/>
  <c r="F50" i="10" s="1"/>
  <c r="F62" i="10" s="1"/>
  <c r="B19" i="10"/>
  <c r="B31" i="10" s="1"/>
  <c r="A19" i="10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T26" i="15"/>
  <c r="T38" i="15" s="1"/>
  <c r="V49" i="25" s="1"/>
  <c r="S26" i="15"/>
  <c r="S38" i="15" s="1"/>
  <c r="U49" i="25" s="1"/>
  <c r="R26" i="15"/>
  <c r="R38" i="15" s="1"/>
  <c r="T49" i="25" s="1"/>
  <c r="Q26" i="15"/>
  <c r="Q38" i="15" s="1"/>
  <c r="S49" i="25" s="1"/>
  <c r="P26" i="15"/>
  <c r="P38" i="15" s="1"/>
  <c r="R49" i="25" s="1"/>
  <c r="O26" i="15"/>
  <c r="O38" i="15" s="1"/>
  <c r="Q49" i="25" s="1"/>
  <c r="N26" i="15"/>
  <c r="N38" i="15" s="1"/>
  <c r="P49" i="25" s="1"/>
  <c r="M26" i="15"/>
  <c r="M38" i="15" s="1"/>
  <c r="O49" i="25" s="1"/>
  <c r="L26" i="15"/>
  <c r="L38" i="15" s="1"/>
  <c r="N49" i="25" s="1"/>
  <c r="K26" i="15"/>
  <c r="K38" i="15" s="1"/>
  <c r="M49" i="25" s="1"/>
  <c r="J26" i="15"/>
  <c r="J38" i="15" s="1"/>
  <c r="L49" i="25" s="1"/>
  <c r="I26" i="15"/>
  <c r="I38" i="15" s="1"/>
  <c r="K49" i="25" s="1"/>
  <c r="H26" i="15"/>
  <c r="H38" i="15" s="1"/>
  <c r="J49" i="25" s="1"/>
  <c r="G26" i="15"/>
  <c r="G38" i="15" s="1"/>
  <c r="I49" i="25" s="1"/>
  <c r="F26" i="15"/>
  <c r="F38" i="15" s="1"/>
  <c r="H49" i="25" s="1"/>
  <c r="E26" i="15"/>
  <c r="E38" i="15" s="1"/>
  <c r="G49" i="25" s="1"/>
  <c r="D26" i="15"/>
  <c r="D38" i="15" s="1"/>
  <c r="F49" i="25" s="1"/>
  <c r="C26" i="15"/>
  <c r="C38" i="15" s="1"/>
  <c r="E49" i="25" s="1"/>
  <c r="T25" i="15"/>
  <c r="T37" i="15" s="1"/>
  <c r="V48" i="25" s="1"/>
  <c r="S25" i="15"/>
  <c r="S37" i="15" s="1"/>
  <c r="U48" i="25" s="1"/>
  <c r="R25" i="15"/>
  <c r="R37" i="15" s="1"/>
  <c r="T48" i="25" s="1"/>
  <c r="Q25" i="15"/>
  <c r="Q37" i="15" s="1"/>
  <c r="S48" i="25" s="1"/>
  <c r="P25" i="15"/>
  <c r="P37" i="15" s="1"/>
  <c r="R48" i="25" s="1"/>
  <c r="O25" i="15"/>
  <c r="O37" i="15" s="1"/>
  <c r="Q48" i="25" s="1"/>
  <c r="N25" i="15"/>
  <c r="N37" i="15" s="1"/>
  <c r="P48" i="25" s="1"/>
  <c r="M25" i="15"/>
  <c r="M37" i="15" s="1"/>
  <c r="O48" i="25" s="1"/>
  <c r="L25" i="15"/>
  <c r="L37" i="15" s="1"/>
  <c r="N48" i="25" s="1"/>
  <c r="K25" i="15"/>
  <c r="K37" i="15" s="1"/>
  <c r="M48" i="25" s="1"/>
  <c r="J25" i="15"/>
  <c r="J37" i="15" s="1"/>
  <c r="L48" i="25" s="1"/>
  <c r="I25" i="15"/>
  <c r="I37" i="15" s="1"/>
  <c r="K48" i="25" s="1"/>
  <c r="H25" i="15"/>
  <c r="H37" i="15" s="1"/>
  <c r="J48" i="25" s="1"/>
  <c r="G25" i="15"/>
  <c r="G37" i="15" s="1"/>
  <c r="I48" i="25" s="1"/>
  <c r="F25" i="15"/>
  <c r="F37" i="15" s="1"/>
  <c r="H48" i="25" s="1"/>
  <c r="E25" i="15"/>
  <c r="E37" i="15" s="1"/>
  <c r="G48" i="25" s="1"/>
  <c r="D25" i="15"/>
  <c r="D37" i="15" s="1"/>
  <c r="F48" i="25" s="1"/>
  <c r="C25" i="15"/>
  <c r="C37" i="15" s="1"/>
  <c r="E48" i="25" s="1"/>
  <c r="T24" i="15"/>
  <c r="T36" i="15" s="1"/>
  <c r="V47" i="25" s="1"/>
  <c r="S24" i="15"/>
  <c r="S36" i="15" s="1"/>
  <c r="U47" i="25" s="1"/>
  <c r="R24" i="15"/>
  <c r="R36" i="15" s="1"/>
  <c r="T47" i="25" s="1"/>
  <c r="Q24" i="15"/>
  <c r="Q36" i="15" s="1"/>
  <c r="S47" i="25" s="1"/>
  <c r="P24" i="15"/>
  <c r="P36" i="15" s="1"/>
  <c r="R47" i="25" s="1"/>
  <c r="O24" i="15"/>
  <c r="O36" i="15" s="1"/>
  <c r="Q47" i="25" s="1"/>
  <c r="N24" i="15"/>
  <c r="N36" i="15" s="1"/>
  <c r="P47" i="25" s="1"/>
  <c r="M24" i="15"/>
  <c r="M36" i="15" s="1"/>
  <c r="O47" i="25" s="1"/>
  <c r="L24" i="15"/>
  <c r="L36" i="15" s="1"/>
  <c r="N47" i="25" s="1"/>
  <c r="K24" i="15"/>
  <c r="K36" i="15" s="1"/>
  <c r="M47" i="25" s="1"/>
  <c r="J24" i="15"/>
  <c r="J36" i="15" s="1"/>
  <c r="L47" i="25" s="1"/>
  <c r="I24" i="15"/>
  <c r="I36" i="15" s="1"/>
  <c r="K47" i="25" s="1"/>
  <c r="H24" i="15"/>
  <c r="H36" i="15" s="1"/>
  <c r="J47" i="25" s="1"/>
  <c r="G24" i="15"/>
  <c r="G36" i="15" s="1"/>
  <c r="I47" i="25" s="1"/>
  <c r="F24" i="15"/>
  <c r="F36" i="15" s="1"/>
  <c r="H47" i="25" s="1"/>
  <c r="E24" i="15"/>
  <c r="E36" i="15" s="1"/>
  <c r="G47" i="25" s="1"/>
  <c r="D24" i="15"/>
  <c r="D36" i="15" s="1"/>
  <c r="F47" i="25" s="1"/>
  <c r="C24" i="15"/>
  <c r="C36" i="15" s="1"/>
  <c r="E47" i="25" s="1"/>
  <c r="T23" i="15"/>
  <c r="T35" i="15" s="1"/>
  <c r="V46" i="25" s="1"/>
  <c r="S23" i="15"/>
  <c r="S35" i="15" s="1"/>
  <c r="U46" i="25" s="1"/>
  <c r="R23" i="15"/>
  <c r="R35" i="15" s="1"/>
  <c r="T46" i="25" s="1"/>
  <c r="Q23" i="15"/>
  <c r="Q35" i="15" s="1"/>
  <c r="S46" i="25" s="1"/>
  <c r="P23" i="15"/>
  <c r="P35" i="15" s="1"/>
  <c r="R46" i="25" s="1"/>
  <c r="O23" i="15"/>
  <c r="O35" i="15" s="1"/>
  <c r="Q46" i="25" s="1"/>
  <c r="N23" i="15"/>
  <c r="N35" i="15" s="1"/>
  <c r="P46" i="25" s="1"/>
  <c r="M23" i="15"/>
  <c r="M35" i="15" s="1"/>
  <c r="O46" i="25" s="1"/>
  <c r="L23" i="15"/>
  <c r="L35" i="15" s="1"/>
  <c r="N46" i="25" s="1"/>
  <c r="K23" i="15"/>
  <c r="K35" i="15" s="1"/>
  <c r="M46" i="25" s="1"/>
  <c r="J23" i="15"/>
  <c r="J35" i="15" s="1"/>
  <c r="L46" i="25" s="1"/>
  <c r="I23" i="15"/>
  <c r="I35" i="15" s="1"/>
  <c r="K46" i="25" s="1"/>
  <c r="H23" i="15"/>
  <c r="H35" i="15" s="1"/>
  <c r="J46" i="25" s="1"/>
  <c r="G23" i="15"/>
  <c r="G35" i="15" s="1"/>
  <c r="I46" i="25" s="1"/>
  <c r="F23" i="15"/>
  <c r="F35" i="15" s="1"/>
  <c r="H46" i="25" s="1"/>
  <c r="E23" i="15"/>
  <c r="E35" i="15" s="1"/>
  <c r="G46" i="25" s="1"/>
  <c r="D23" i="15"/>
  <c r="D35" i="15" s="1"/>
  <c r="F46" i="25" s="1"/>
  <c r="C23" i="15"/>
  <c r="C35" i="15" s="1"/>
  <c r="E46" i="25" s="1"/>
  <c r="T22" i="15"/>
  <c r="T34" i="15" s="1"/>
  <c r="V45" i="25" s="1"/>
  <c r="S22" i="15"/>
  <c r="S34" i="15" s="1"/>
  <c r="U45" i="25" s="1"/>
  <c r="R22" i="15"/>
  <c r="R34" i="15" s="1"/>
  <c r="T45" i="25" s="1"/>
  <c r="Q22" i="15"/>
  <c r="Q34" i="15" s="1"/>
  <c r="S45" i="25" s="1"/>
  <c r="P22" i="15"/>
  <c r="P34" i="15" s="1"/>
  <c r="R45" i="25" s="1"/>
  <c r="O22" i="15"/>
  <c r="O34" i="15" s="1"/>
  <c r="Q45" i="25" s="1"/>
  <c r="N22" i="15"/>
  <c r="N34" i="15" s="1"/>
  <c r="P45" i="25" s="1"/>
  <c r="M22" i="15"/>
  <c r="M34" i="15" s="1"/>
  <c r="O45" i="25" s="1"/>
  <c r="L22" i="15"/>
  <c r="L34" i="15" s="1"/>
  <c r="N45" i="25" s="1"/>
  <c r="K22" i="15"/>
  <c r="K34" i="15" s="1"/>
  <c r="M45" i="25" s="1"/>
  <c r="J22" i="15"/>
  <c r="J34" i="15" s="1"/>
  <c r="L45" i="25" s="1"/>
  <c r="I22" i="15"/>
  <c r="I34" i="15" s="1"/>
  <c r="K45" i="25" s="1"/>
  <c r="H22" i="15"/>
  <c r="H34" i="15" s="1"/>
  <c r="J45" i="25" s="1"/>
  <c r="G22" i="15"/>
  <c r="G34" i="15" s="1"/>
  <c r="I45" i="25" s="1"/>
  <c r="F22" i="15"/>
  <c r="F34" i="15" s="1"/>
  <c r="H45" i="25" s="1"/>
  <c r="E22" i="15"/>
  <c r="E34" i="15" s="1"/>
  <c r="G45" i="25" s="1"/>
  <c r="D22" i="15"/>
  <c r="D34" i="15" s="1"/>
  <c r="F45" i="25" s="1"/>
  <c r="C22" i="15"/>
  <c r="C34" i="15" s="1"/>
  <c r="E45" i="25" s="1"/>
  <c r="T21" i="15"/>
  <c r="T33" i="15" s="1"/>
  <c r="V44" i="25" s="1"/>
  <c r="S21" i="15"/>
  <c r="S33" i="15" s="1"/>
  <c r="U44" i="25" s="1"/>
  <c r="R21" i="15"/>
  <c r="R33" i="15" s="1"/>
  <c r="T44" i="25" s="1"/>
  <c r="Q21" i="15"/>
  <c r="Q33" i="15" s="1"/>
  <c r="S44" i="25" s="1"/>
  <c r="P21" i="15"/>
  <c r="P33" i="15" s="1"/>
  <c r="R44" i="25" s="1"/>
  <c r="O21" i="15"/>
  <c r="O33" i="15" s="1"/>
  <c r="Q44" i="25" s="1"/>
  <c r="N21" i="15"/>
  <c r="N33" i="15" s="1"/>
  <c r="P44" i="25" s="1"/>
  <c r="M21" i="15"/>
  <c r="M33" i="15" s="1"/>
  <c r="O44" i="25" s="1"/>
  <c r="L21" i="15"/>
  <c r="L33" i="15" s="1"/>
  <c r="N44" i="25" s="1"/>
  <c r="K21" i="15"/>
  <c r="K33" i="15" s="1"/>
  <c r="M44" i="25" s="1"/>
  <c r="J21" i="15"/>
  <c r="J33" i="15" s="1"/>
  <c r="L44" i="25" s="1"/>
  <c r="I21" i="15"/>
  <c r="I33" i="15" s="1"/>
  <c r="K44" i="25" s="1"/>
  <c r="H21" i="15"/>
  <c r="H33" i="15" s="1"/>
  <c r="J44" i="25" s="1"/>
  <c r="G21" i="15"/>
  <c r="G33" i="15" s="1"/>
  <c r="I44" i="25" s="1"/>
  <c r="F21" i="15"/>
  <c r="F33" i="15" s="1"/>
  <c r="H44" i="25" s="1"/>
  <c r="E21" i="15"/>
  <c r="E33" i="15" s="1"/>
  <c r="G44" i="25" s="1"/>
  <c r="D21" i="15"/>
  <c r="D33" i="15" s="1"/>
  <c r="F44" i="25" s="1"/>
  <c r="C21" i="15"/>
  <c r="C33" i="15" s="1"/>
  <c r="E44" i="25" s="1"/>
  <c r="T20" i="15"/>
  <c r="T32" i="15" s="1"/>
  <c r="V43" i="25" s="1"/>
  <c r="S20" i="15"/>
  <c r="S32" i="15" s="1"/>
  <c r="U43" i="25" s="1"/>
  <c r="R20" i="15"/>
  <c r="R32" i="15" s="1"/>
  <c r="T43" i="25" s="1"/>
  <c r="Q20" i="15"/>
  <c r="Q32" i="15" s="1"/>
  <c r="S43" i="25" s="1"/>
  <c r="P20" i="15"/>
  <c r="P32" i="15" s="1"/>
  <c r="R43" i="25" s="1"/>
  <c r="O20" i="15"/>
  <c r="O32" i="15" s="1"/>
  <c r="Q43" i="25" s="1"/>
  <c r="N20" i="15"/>
  <c r="N32" i="15" s="1"/>
  <c r="P43" i="25" s="1"/>
  <c r="M20" i="15"/>
  <c r="M32" i="15" s="1"/>
  <c r="O43" i="25" s="1"/>
  <c r="L20" i="15"/>
  <c r="L32" i="15" s="1"/>
  <c r="N43" i="25" s="1"/>
  <c r="K20" i="15"/>
  <c r="K32" i="15" s="1"/>
  <c r="M43" i="25" s="1"/>
  <c r="J20" i="15"/>
  <c r="J32" i="15" s="1"/>
  <c r="L43" i="25" s="1"/>
  <c r="I20" i="15"/>
  <c r="I32" i="15" s="1"/>
  <c r="K43" i="25" s="1"/>
  <c r="H20" i="15"/>
  <c r="H32" i="15" s="1"/>
  <c r="J43" i="25" s="1"/>
  <c r="G20" i="15"/>
  <c r="G32" i="15" s="1"/>
  <c r="I43" i="25" s="1"/>
  <c r="F20" i="15"/>
  <c r="F32" i="15" s="1"/>
  <c r="H43" i="25" s="1"/>
  <c r="E20" i="15"/>
  <c r="E32" i="15" s="1"/>
  <c r="G43" i="25" s="1"/>
  <c r="D20" i="15"/>
  <c r="D32" i="15" s="1"/>
  <c r="F43" i="25" s="1"/>
  <c r="C20" i="15"/>
  <c r="C32" i="15" s="1"/>
  <c r="E43" i="25" s="1"/>
  <c r="T19" i="15"/>
  <c r="T31" i="15" s="1"/>
  <c r="V42" i="25" s="1"/>
  <c r="S19" i="15"/>
  <c r="S31" i="15" s="1"/>
  <c r="U42" i="25" s="1"/>
  <c r="R19" i="15"/>
  <c r="R31" i="15" s="1"/>
  <c r="T42" i="25" s="1"/>
  <c r="Q19" i="15"/>
  <c r="Q31" i="15" s="1"/>
  <c r="S42" i="25" s="1"/>
  <c r="P19" i="15"/>
  <c r="P31" i="15" s="1"/>
  <c r="R42" i="25" s="1"/>
  <c r="O19" i="15"/>
  <c r="O31" i="15" s="1"/>
  <c r="Q42" i="25" s="1"/>
  <c r="N19" i="15"/>
  <c r="N31" i="15" s="1"/>
  <c r="P42" i="25" s="1"/>
  <c r="M19" i="15"/>
  <c r="M31" i="15" s="1"/>
  <c r="O42" i="25" s="1"/>
  <c r="L19" i="15"/>
  <c r="L31" i="15" s="1"/>
  <c r="N42" i="25" s="1"/>
  <c r="K19" i="15"/>
  <c r="K31" i="15" s="1"/>
  <c r="M42" i="25" s="1"/>
  <c r="J19" i="15"/>
  <c r="J31" i="15" s="1"/>
  <c r="L42" i="25" s="1"/>
  <c r="I19" i="15"/>
  <c r="I31" i="15" s="1"/>
  <c r="K42" i="25" s="1"/>
  <c r="H19" i="15"/>
  <c r="H31" i="15" s="1"/>
  <c r="J42" i="25" s="1"/>
  <c r="G19" i="15"/>
  <c r="G31" i="15" s="1"/>
  <c r="I42" i="25" s="1"/>
  <c r="F19" i="15"/>
  <c r="F31" i="15" s="1"/>
  <c r="H42" i="25" s="1"/>
  <c r="E19" i="15"/>
  <c r="E31" i="15" s="1"/>
  <c r="G42" i="25" s="1"/>
  <c r="D19" i="15"/>
  <c r="D31" i="15" s="1"/>
  <c r="F42" i="25" s="1"/>
  <c r="C31" i="15"/>
  <c r="E42" i="25" s="1"/>
  <c r="U14" i="15"/>
  <c r="U13" i="15"/>
  <c r="W32" i="25" s="1"/>
  <c r="U12" i="15"/>
  <c r="W31" i="25" s="1"/>
  <c r="U11" i="15"/>
  <c r="W30" i="25" s="1"/>
  <c r="U10" i="15"/>
  <c r="W29" i="25" s="1"/>
  <c r="U9" i="15"/>
  <c r="W28" i="25" s="1"/>
  <c r="U8" i="15"/>
  <c r="W27" i="25" s="1"/>
  <c r="U7" i="15"/>
  <c r="W26" i="25" s="1"/>
  <c r="T26" i="14"/>
  <c r="T38" i="14" s="1"/>
  <c r="T50" i="14" s="1"/>
  <c r="T62" i="14" s="1"/>
  <c r="V49" i="22" s="1"/>
  <c r="S26" i="14"/>
  <c r="S38" i="14" s="1"/>
  <c r="S50" i="14" s="1"/>
  <c r="S62" i="14" s="1"/>
  <c r="U49" i="22" s="1"/>
  <c r="R26" i="14"/>
  <c r="R38" i="14" s="1"/>
  <c r="R50" i="14" s="1"/>
  <c r="R62" i="14" s="1"/>
  <c r="T49" i="22" s="1"/>
  <c r="Q26" i="14"/>
  <c r="Q38" i="14" s="1"/>
  <c r="Q50" i="14" s="1"/>
  <c r="Q62" i="14" s="1"/>
  <c r="S49" i="22" s="1"/>
  <c r="P26" i="14"/>
  <c r="P38" i="14" s="1"/>
  <c r="P50" i="14" s="1"/>
  <c r="P62" i="14" s="1"/>
  <c r="R49" i="22" s="1"/>
  <c r="O26" i="14"/>
  <c r="O38" i="14" s="1"/>
  <c r="O50" i="14" s="1"/>
  <c r="O62" i="14" s="1"/>
  <c r="Q49" i="22" s="1"/>
  <c r="N26" i="14"/>
  <c r="N38" i="14" s="1"/>
  <c r="N50" i="14" s="1"/>
  <c r="N62" i="14" s="1"/>
  <c r="P49" i="22" s="1"/>
  <c r="M26" i="14"/>
  <c r="M38" i="14" s="1"/>
  <c r="M50" i="14" s="1"/>
  <c r="M62" i="14" s="1"/>
  <c r="O49" i="22" s="1"/>
  <c r="L26" i="14"/>
  <c r="L38" i="14" s="1"/>
  <c r="L50" i="14" s="1"/>
  <c r="L62" i="14" s="1"/>
  <c r="N49" i="22" s="1"/>
  <c r="K26" i="14"/>
  <c r="K38" i="14" s="1"/>
  <c r="K50" i="14" s="1"/>
  <c r="K62" i="14" s="1"/>
  <c r="M49" i="22" s="1"/>
  <c r="J26" i="14"/>
  <c r="J38" i="14" s="1"/>
  <c r="J50" i="14" s="1"/>
  <c r="J62" i="14" s="1"/>
  <c r="L49" i="22" s="1"/>
  <c r="I26" i="14"/>
  <c r="I38" i="14" s="1"/>
  <c r="I50" i="14" s="1"/>
  <c r="I62" i="14" s="1"/>
  <c r="K49" i="22" s="1"/>
  <c r="H26" i="14"/>
  <c r="H38" i="14" s="1"/>
  <c r="H50" i="14" s="1"/>
  <c r="H62" i="14" s="1"/>
  <c r="J49" i="22" s="1"/>
  <c r="G26" i="14"/>
  <c r="G38" i="14" s="1"/>
  <c r="G50" i="14" s="1"/>
  <c r="G62" i="14" s="1"/>
  <c r="I49" i="22" s="1"/>
  <c r="F26" i="14"/>
  <c r="F38" i="14" s="1"/>
  <c r="F50" i="14" s="1"/>
  <c r="F62" i="14" s="1"/>
  <c r="H49" i="22" s="1"/>
  <c r="E26" i="14"/>
  <c r="E38" i="14" s="1"/>
  <c r="E50" i="14" s="1"/>
  <c r="E62" i="14" s="1"/>
  <c r="G49" i="22" s="1"/>
  <c r="D26" i="14"/>
  <c r="D38" i="14" s="1"/>
  <c r="D50" i="14" s="1"/>
  <c r="D62" i="14" s="1"/>
  <c r="F49" i="22" s="1"/>
  <c r="C26" i="14"/>
  <c r="C38" i="14" s="1"/>
  <c r="C50" i="14" s="1"/>
  <c r="C62" i="14" s="1"/>
  <c r="E49" i="22" s="1"/>
  <c r="T25" i="14"/>
  <c r="T37" i="14" s="1"/>
  <c r="T49" i="14" s="1"/>
  <c r="T61" i="14" s="1"/>
  <c r="V48" i="22" s="1"/>
  <c r="S25" i="14"/>
  <c r="S37" i="14" s="1"/>
  <c r="S49" i="14" s="1"/>
  <c r="S61" i="14" s="1"/>
  <c r="U48" i="22" s="1"/>
  <c r="R25" i="14"/>
  <c r="R37" i="14" s="1"/>
  <c r="R49" i="14" s="1"/>
  <c r="R61" i="14" s="1"/>
  <c r="T48" i="22" s="1"/>
  <c r="Q25" i="14"/>
  <c r="Q37" i="14" s="1"/>
  <c r="Q49" i="14" s="1"/>
  <c r="Q61" i="14" s="1"/>
  <c r="S48" i="22" s="1"/>
  <c r="P25" i="14"/>
  <c r="P37" i="14" s="1"/>
  <c r="P49" i="14" s="1"/>
  <c r="P61" i="14" s="1"/>
  <c r="R48" i="22" s="1"/>
  <c r="O25" i="14"/>
  <c r="O37" i="14" s="1"/>
  <c r="O49" i="14" s="1"/>
  <c r="O61" i="14" s="1"/>
  <c r="Q48" i="22" s="1"/>
  <c r="N25" i="14"/>
  <c r="N37" i="14" s="1"/>
  <c r="N49" i="14" s="1"/>
  <c r="N61" i="14" s="1"/>
  <c r="P48" i="22" s="1"/>
  <c r="M25" i="14"/>
  <c r="M37" i="14" s="1"/>
  <c r="M49" i="14" s="1"/>
  <c r="M61" i="14" s="1"/>
  <c r="O48" i="22" s="1"/>
  <c r="L25" i="14"/>
  <c r="L37" i="14" s="1"/>
  <c r="L49" i="14" s="1"/>
  <c r="L61" i="14" s="1"/>
  <c r="N48" i="22" s="1"/>
  <c r="K25" i="14"/>
  <c r="K37" i="14" s="1"/>
  <c r="K49" i="14" s="1"/>
  <c r="K61" i="14" s="1"/>
  <c r="M48" i="22" s="1"/>
  <c r="J25" i="14"/>
  <c r="J37" i="14" s="1"/>
  <c r="J49" i="14" s="1"/>
  <c r="J61" i="14" s="1"/>
  <c r="L48" i="22" s="1"/>
  <c r="I25" i="14"/>
  <c r="I37" i="14" s="1"/>
  <c r="I49" i="14" s="1"/>
  <c r="I61" i="14" s="1"/>
  <c r="K48" i="22" s="1"/>
  <c r="H25" i="14"/>
  <c r="H37" i="14" s="1"/>
  <c r="H49" i="14" s="1"/>
  <c r="H61" i="14" s="1"/>
  <c r="J48" i="22" s="1"/>
  <c r="G25" i="14"/>
  <c r="G37" i="14" s="1"/>
  <c r="G49" i="14" s="1"/>
  <c r="G61" i="14" s="1"/>
  <c r="I48" i="22" s="1"/>
  <c r="F25" i="14"/>
  <c r="F37" i="14" s="1"/>
  <c r="F49" i="14" s="1"/>
  <c r="F61" i="14" s="1"/>
  <c r="H48" i="22" s="1"/>
  <c r="E25" i="14"/>
  <c r="E37" i="14" s="1"/>
  <c r="E49" i="14" s="1"/>
  <c r="E61" i="14" s="1"/>
  <c r="G48" i="22" s="1"/>
  <c r="D25" i="14"/>
  <c r="D37" i="14" s="1"/>
  <c r="D49" i="14" s="1"/>
  <c r="D61" i="14" s="1"/>
  <c r="F48" i="22" s="1"/>
  <c r="C25" i="14"/>
  <c r="C37" i="14" s="1"/>
  <c r="C49" i="14" s="1"/>
  <c r="C61" i="14" s="1"/>
  <c r="E48" i="22" s="1"/>
  <c r="T24" i="14"/>
  <c r="T36" i="14" s="1"/>
  <c r="T48" i="14" s="1"/>
  <c r="T60" i="14" s="1"/>
  <c r="V47" i="22" s="1"/>
  <c r="S24" i="14"/>
  <c r="S36" i="14" s="1"/>
  <c r="S48" i="14" s="1"/>
  <c r="S60" i="14" s="1"/>
  <c r="U47" i="22" s="1"/>
  <c r="R24" i="14"/>
  <c r="R36" i="14" s="1"/>
  <c r="R48" i="14" s="1"/>
  <c r="R60" i="14" s="1"/>
  <c r="T47" i="22" s="1"/>
  <c r="Q24" i="14"/>
  <c r="Q36" i="14" s="1"/>
  <c r="Q48" i="14" s="1"/>
  <c r="Q60" i="14" s="1"/>
  <c r="S47" i="22" s="1"/>
  <c r="P24" i="14"/>
  <c r="P36" i="14" s="1"/>
  <c r="P48" i="14" s="1"/>
  <c r="P60" i="14" s="1"/>
  <c r="R47" i="22" s="1"/>
  <c r="O24" i="14"/>
  <c r="O36" i="14" s="1"/>
  <c r="O48" i="14" s="1"/>
  <c r="O60" i="14" s="1"/>
  <c r="Q47" i="22" s="1"/>
  <c r="N24" i="14"/>
  <c r="N36" i="14" s="1"/>
  <c r="N48" i="14" s="1"/>
  <c r="N60" i="14" s="1"/>
  <c r="P47" i="22" s="1"/>
  <c r="M24" i="14"/>
  <c r="M36" i="14" s="1"/>
  <c r="M48" i="14" s="1"/>
  <c r="M60" i="14" s="1"/>
  <c r="O47" i="22" s="1"/>
  <c r="L24" i="14"/>
  <c r="L36" i="14" s="1"/>
  <c r="L48" i="14" s="1"/>
  <c r="L60" i="14" s="1"/>
  <c r="N47" i="22" s="1"/>
  <c r="K24" i="14"/>
  <c r="K36" i="14" s="1"/>
  <c r="K48" i="14" s="1"/>
  <c r="K60" i="14" s="1"/>
  <c r="M47" i="22" s="1"/>
  <c r="J24" i="14"/>
  <c r="J36" i="14" s="1"/>
  <c r="J48" i="14" s="1"/>
  <c r="J60" i="14" s="1"/>
  <c r="L47" i="22" s="1"/>
  <c r="I24" i="14"/>
  <c r="I36" i="14" s="1"/>
  <c r="I48" i="14" s="1"/>
  <c r="I60" i="14" s="1"/>
  <c r="K47" i="22" s="1"/>
  <c r="H24" i="14"/>
  <c r="H36" i="14" s="1"/>
  <c r="H48" i="14" s="1"/>
  <c r="H60" i="14" s="1"/>
  <c r="J47" i="22" s="1"/>
  <c r="G24" i="14"/>
  <c r="G36" i="14" s="1"/>
  <c r="G48" i="14" s="1"/>
  <c r="G60" i="14" s="1"/>
  <c r="I47" i="22" s="1"/>
  <c r="F24" i="14"/>
  <c r="F36" i="14" s="1"/>
  <c r="F48" i="14" s="1"/>
  <c r="F60" i="14" s="1"/>
  <c r="H47" i="22" s="1"/>
  <c r="E24" i="14"/>
  <c r="E36" i="14" s="1"/>
  <c r="E48" i="14" s="1"/>
  <c r="E60" i="14" s="1"/>
  <c r="G47" i="22" s="1"/>
  <c r="D24" i="14"/>
  <c r="D36" i="14" s="1"/>
  <c r="D48" i="14" s="1"/>
  <c r="D60" i="14" s="1"/>
  <c r="F47" i="22" s="1"/>
  <c r="C24" i="14"/>
  <c r="C36" i="14" s="1"/>
  <c r="C48" i="14" s="1"/>
  <c r="C60" i="14" s="1"/>
  <c r="E47" i="22" s="1"/>
  <c r="T23" i="14"/>
  <c r="T35" i="14" s="1"/>
  <c r="T47" i="14" s="1"/>
  <c r="T59" i="14" s="1"/>
  <c r="V46" i="22" s="1"/>
  <c r="S23" i="14"/>
  <c r="S35" i="14" s="1"/>
  <c r="S47" i="14" s="1"/>
  <c r="S59" i="14" s="1"/>
  <c r="U46" i="22" s="1"/>
  <c r="R23" i="14"/>
  <c r="R35" i="14" s="1"/>
  <c r="R47" i="14" s="1"/>
  <c r="R59" i="14" s="1"/>
  <c r="T46" i="22" s="1"/>
  <c r="Q23" i="14"/>
  <c r="Q35" i="14" s="1"/>
  <c r="Q47" i="14" s="1"/>
  <c r="Q59" i="14" s="1"/>
  <c r="S46" i="22" s="1"/>
  <c r="P23" i="14"/>
  <c r="P35" i="14" s="1"/>
  <c r="P47" i="14" s="1"/>
  <c r="P59" i="14" s="1"/>
  <c r="R46" i="22" s="1"/>
  <c r="O23" i="14"/>
  <c r="O35" i="14" s="1"/>
  <c r="O47" i="14" s="1"/>
  <c r="O59" i="14" s="1"/>
  <c r="Q46" i="22" s="1"/>
  <c r="N23" i="14"/>
  <c r="N35" i="14" s="1"/>
  <c r="N47" i="14" s="1"/>
  <c r="N59" i="14" s="1"/>
  <c r="P46" i="22" s="1"/>
  <c r="M23" i="14"/>
  <c r="M35" i="14" s="1"/>
  <c r="M47" i="14" s="1"/>
  <c r="M59" i="14" s="1"/>
  <c r="O46" i="22" s="1"/>
  <c r="L23" i="14"/>
  <c r="L35" i="14" s="1"/>
  <c r="L47" i="14" s="1"/>
  <c r="L59" i="14" s="1"/>
  <c r="N46" i="22" s="1"/>
  <c r="K23" i="14"/>
  <c r="K35" i="14" s="1"/>
  <c r="K47" i="14" s="1"/>
  <c r="K59" i="14" s="1"/>
  <c r="M46" i="22" s="1"/>
  <c r="J23" i="14"/>
  <c r="J35" i="14" s="1"/>
  <c r="J47" i="14" s="1"/>
  <c r="J59" i="14" s="1"/>
  <c r="L46" i="22" s="1"/>
  <c r="I23" i="14"/>
  <c r="I35" i="14" s="1"/>
  <c r="I47" i="14" s="1"/>
  <c r="I59" i="14" s="1"/>
  <c r="K46" i="22" s="1"/>
  <c r="H23" i="14"/>
  <c r="H35" i="14" s="1"/>
  <c r="H47" i="14" s="1"/>
  <c r="H59" i="14" s="1"/>
  <c r="J46" i="22" s="1"/>
  <c r="G23" i="14"/>
  <c r="G35" i="14" s="1"/>
  <c r="G47" i="14" s="1"/>
  <c r="G59" i="14" s="1"/>
  <c r="I46" i="22" s="1"/>
  <c r="F23" i="14"/>
  <c r="F35" i="14" s="1"/>
  <c r="F47" i="14" s="1"/>
  <c r="F59" i="14" s="1"/>
  <c r="H46" i="22" s="1"/>
  <c r="E23" i="14"/>
  <c r="E35" i="14" s="1"/>
  <c r="E47" i="14" s="1"/>
  <c r="E59" i="14" s="1"/>
  <c r="G46" i="22" s="1"/>
  <c r="D23" i="14"/>
  <c r="D35" i="14" s="1"/>
  <c r="D47" i="14" s="1"/>
  <c r="D59" i="14" s="1"/>
  <c r="F46" i="22" s="1"/>
  <c r="C23" i="14"/>
  <c r="C35" i="14" s="1"/>
  <c r="C47" i="14" s="1"/>
  <c r="C59" i="14" s="1"/>
  <c r="E46" i="22" s="1"/>
  <c r="T22" i="14"/>
  <c r="T34" i="14" s="1"/>
  <c r="T46" i="14" s="1"/>
  <c r="T58" i="14" s="1"/>
  <c r="V45" i="22" s="1"/>
  <c r="S22" i="14"/>
  <c r="S34" i="14" s="1"/>
  <c r="S46" i="14" s="1"/>
  <c r="S58" i="14" s="1"/>
  <c r="U45" i="22" s="1"/>
  <c r="R22" i="14"/>
  <c r="R34" i="14" s="1"/>
  <c r="R46" i="14" s="1"/>
  <c r="R58" i="14" s="1"/>
  <c r="T45" i="22" s="1"/>
  <c r="Q22" i="14"/>
  <c r="Q34" i="14" s="1"/>
  <c r="Q46" i="14" s="1"/>
  <c r="Q58" i="14" s="1"/>
  <c r="S45" i="22" s="1"/>
  <c r="P22" i="14"/>
  <c r="P34" i="14" s="1"/>
  <c r="P46" i="14" s="1"/>
  <c r="P58" i="14" s="1"/>
  <c r="R45" i="22" s="1"/>
  <c r="O22" i="14"/>
  <c r="O34" i="14" s="1"/>
  <c r="O46" i="14" s="1"/>
  <c r="O58" i="14" s="1"/>
  <c r="Q45" i="22" s="1"/>
  <c r="N22" i="14"/>
  <c r="N34" i="14" s="1"/>
  <c r="N46" i="14" s="1"/>
  <c r="N58" i="14" s="1"/>
  <c r="P45" i="22" s="1"/>
  <c r="M22" i="14"/>
  <c r="M34" i="14" s="1"/>
  <c r="M46" i="14" s="1"/>
  <c r="M58" i="14" s="1"/>
  <c r="O45" i="22" s="1"/>
  <c r="L22" i="14"/>
  <c r="L34" i="14" s="1"/>
  <c r="L46" i="14" s="1"/>
  <c r="L58" i="14" s="1"/>
  <c r="N45" i="22" s="1"/>
  <c r="K22" i="14"/>
  <c r="K34" i="14" s="1"/>
  <c r="K46" i="14" s="1"/>
  <c r="K58" i="14" s="1"/>
  <c r="M45" i="22" s="1"/>
  <c r="J22" i="14"/>
  <c r="J34" i="14" s="1"/>
  <c r="J46" i="14" s="1"/>
  <c r="J58" i="14" s="1"/>
  <c r="L45" i="22" s="1"/>
  <c r="I22" i="14"/>
  <c r="I34" i="14" s="1"/>
  <c r="I46" i="14" s="1"/>
  <c r="I58" i="14" s="1"/>
  <c r="K45" i="22" s="1"/>
  <c r="H22" i="14"/>
  <c r="H34" i="14" s="1"/>
  <c r="H46" i="14" s="1"/>
  <c r="H58" i="14" s="1"/>
  <c r="J45" i="22" s="1"/>
  <c r="G22" i="14"/>
  <c r="G34" i="14" s="1"/>
  <c r="G46" i="14" s="1"/>
  <c r="G58" i="14" s="1"/>
  <c r="I45" i="22" s="1"/>
  <c r="F22" i="14"/>
  <c r="F34" i="14" s="1"/>
  <c r="F46" i="14" s="1"/>
  <c r="F58" i="14" s="1"/>
  <c r="H45" i="22" s="1"/>
  <c r="E22" i="14"/>
  <c r="E34" i="14" s="1"/>
  <c r="E46" i="14" s="1"/>
  <c r="E58" i="14" s="1"/>
  <c r="G45" i="22" s="1"/>
  <c r="D22" i="14"/>
  <c r="D34" i="14" s="1"/>
  <c r="D46" i="14" s="1"/>
  <c r="D58" i="14" s="1"/>
  <c r="F45" i="22" s="1"/>
  <c r="C22" i="14"/>
  <c r="C34" i="14" s="1"/>
  <c r="C46" i="14" s="1"/>
  <c r="C58" i="14" s="1"/>
  <c r="E45" i="22" s="1"/>
  <c r="T21" i="14"/>
  <c r="T33" i="14" s="1"/>
  <c r="T45" i="14" s="1"/>
  <c r="T57" i="14" s="1"/>
  <c r="V44" i="22" s="1"/>
  <c r="S21" i="14"/>
  <c r="S33" i="14" s="1"/>
  <c r="S45" i="14" s="1"/>
  <c r="S57" i="14" s="1"/>
  <c r="U44" i="22" s="1"/>
  <c r="R21" i="14"/>
  <c r="R33" i="14" s="1"/>
  <c r="R45" i="14" s="1"/>
  <c r="R57" i="14" s="1"/>
  <c r="T44" i="22" s="1"/>
  <c r="Q21" i="14"/>
  <c r="Q33" i="14" s="1"/>
  <c r="Q45" i="14" s="1"/>
  <c r="Q57" i="14" s="1"/>
  <c r="S44" i="22" s="1"/>
  <c r="P21" i="14"/>
  <c r="P33" i="14" s="1"/>
  <c r="P45" i="14" s="1"/>
  <c r="P57" i="14" s="1"/>
  <c r="R44" i="22" s="1"/>
  <c r="O21" i="14"/>
  <c r="O33" i="14" s="1"/>
  <c r="O45" i="14" s="1"/>
  <c r="O57" i="14" s="1"/>
  <c r="Q44" i="22" s="1"/>
  <c r="N21" i="14"/>
  <c r="N33" i="14" s="1"/>
  <c r="N45" i="14" s="1"/>
  <c r="N57" i="14" s="1"/>
  <c r="P44" i="22" s="1"/>
  <c r="M21" i="14"/>
  <c r="M33" i="14" s="1"/>
  <c r="M45" i="14" s="1"/>
  <c r="M57" i="14" s="1"/>
  <c r="O44" i="22" s="1"/>
  <c r="L21" i="14"/>
  <c r="L33" i="14" s="1"/>
  <c r="L45" i="14" s="1"/>
  <c r="L57" i="14" s="1"/>
  <c r="N44" i="22" s="1"/>
  <c r="K21" i="14"/>
  <c r="K33" i="14" s="1"/>
  <c r="K45" i="14" s="1"/>
  <c r="K57" i="14" s="1"/>
  <c r="M44" i="22" s="1"/>
  <c r="J21" i="14"/>
  <c r="J33" i="14" s="1"/>
  <c r="J45" i="14" s="1"/>
  <c r="J57" i="14" s="1"/>
  <c r="L44" i="22" s="1"/>
  <c r="I21" i="14"/>
  <c r="I33" i="14" s="1"/>
  <c r="I45" i="14" s="1"/>
  <c r="I57" i="14" s="1"/>
  <c r="K44" i="22" s="1"/>
  <c r="H21" i="14"/>
  <c r="H33" i="14" s="1"/>
  <c r="H45" i="14" s="1"/>
  <c r="H57" i="14" s="1"/>
  <c r="J44" i="22" s="1"/>
  <c r="G21" i="14"/>
  <c r="G33" i="14" s="1"/>
  <c r="G45" i="14" s="1"/>
  <c r="G57" i="14" s="1"/>
  <c r="I44" i="22" s="1"/>
  <c r="F21" i="14"/>
  <c r="F33" i="14" s="1"/>
  <c r="F45" i="14" s="1"/>
  <c r="F57" i="14" s="1"/>
  <c r="H44" i="22" s="1"/>
  <c r="E21" i="14"/>
  <c r="E33" i="14" s="1"/>
  <c r="E45" i="14" s="1"/>
  <c r="E57" i="14" s="1"/>
  <c r="G44" i="22" s="1"/>
  <c r="D21" i="14"/>
  <c r="D33" i="14" s="1"/>
  <c r="D45" i="14" s="1"/>
  <c r="D57" i="14" s="1"/>
  <c r="F44" i="22" s="1"/>
  <c r="C21" i="14"/>
  <c r="C33" i="14" s="1"/>
  <c r="C45" i="14" s="1"/>
  <c r="C57" i="14" s="1"/>
  <c r="E44" i="22" s="1"/>
  <c r="T20" i="14"/>
  <c r="T32" i="14" s="1"/>
  <c r="T44" i="14" s="1"/>
  <c r="T56" i="14" s="1"/>
  <c r="V43" i="22" s="1"/>
  <c r="S20" i="14"/>
  <c r="S32" i="14" s="1"/>
  <c r="S44" i="14" s="1"/>
  <c r="S56" i="14" s="1"/>
  <c r="U43" i="22" s="1"/>
  <c r="R20" i="14"/>
  <c r="R32" i="14" s="1"/>
  <c r="R44" i="14" s="1"/>
  <c r="R56" i="14" s="1"/>
  <c r="T43" i="22" s="1"/>
  <c r="Q20" i="14"/>
  <c r="Q32" i="14" s="1"/>
  <c r="Q44" i="14" s="1"/>
  <c r="Q56" i="14" s="1"/>
  <c r="S43" i="22" s="1"/>
  <c r="P20" i="14"/>
  <c r="P32" i="14" s="1"/>
  <c r="P44" i="14" s="1"/>
  <c r="P56" i="14" s="1"/>
  <c r="R43" i="22" s="1"/>
  <c r="O20" i="14"/>
  <c r="O32" i="14" s="1"/>
  <c r="O44" i="14" s="1"/>
  <c r="O56" i="14" s="1"/>
  <c r="Q43" i="22" s="1"/>
  <c r="N20" i="14"/>
  <c r="N32" i="14" s="1"/>
  <c r="N44" i="14" s="1"/>
  <c r="N56" i="14" s="1"/>
  <c r="P43" i="22" s="1"/>
  <c r="M20" i="14"/>
  <c r="M32" i="14" s="1"/>
  <c r="M44" i="14" s="1"/>
  <c r="M56" i="14" s="1"/>
  <c r="O43" i="22" s="1"/>
  <c r="L20" i="14"/>
  <c r="L32" i="14" s="1"/>
  <c r="L44" i="14" s="1"/>
  <c r="L56" i="14" s="1"/>
  <c r="N43" i="22" s="1"/>
  <c r="K20" i="14"/>
  <c r="K32" i="14" s="1"/>
  <c r="K44" i="14" s="1"/>
  <c r="K56" i="14" s="1"/>
  <c r="M43" i="22" s="1"/>
  <c r="J20" i="14"/>
  <c r="J32" i="14" s="1"/>
  <c r="J44" i="14" s="1"/>
  <c r="J56" i="14" s="1"/>
  <c r="L43" i="22" s="1"/>
  <c r="I20" i="14"/>
  <c r="I32" i="14" s="1"/>
  <c r="I44" i="14" s="1"/>
  <c r="I56" i="14" s="1"/>
  <c r="K43" i="22" s="1"/>
  <c r="H20" i="14"/>
  <c r="H32" i="14" s="1"/>
  <c r="H44" i="14" s="1"/>
  <c r="H56" i="14" s="1"/>
  <c r="J43" i="22" s="1"/>
  <c r="G20" i="14"/>
  <c r="G32" i="14" s="1"/>
  <c r="G44" i="14" s="1"/>
  <c r="G56" i="14" s="1"/>
  <c r="I43" i="22" s="1"/>
  <c r="F20" i="14"/>
  <c r="F32" i="14" s="1"/>
  <c r="F44" i="14" s="1"/>
  <c r="F56" i="14" s="1"/>
  <c r="H43" i="22" s="1"/>
  <c r="E20" i="14"/>
  <c r="E32" i="14" s="1"/>
  <c r="E44" i="14" s="1"/>
  <c r="E56" i="14" s="1"/>
  <c r="G43" i="22" s="1"/>
  <c r="D20" i="14"/>
  <c r="D32" i="14" s="1"/>
  <c r="D44" i="14" s="1"/>
  <c r="D56" i="14" s="1"/>
  <c r="F43" i="22" s="1"/>
  <c r="C20" i="14"/>
  <c r="C32" i="14" s="1"/>
  <c r="C44" i="14" s="1"/>
  <c r="C56" i="14" s="1"/>
  <c r="E43" i="22" s="1"/>
  <c r="T19" i="14"/>
  <c r="T31" i="14" s="1"/>
  <c r="T43" i="14" s="1"/>
  <c r="T55" i="14" s="1"/>
  <c r="V42" i="22" s="1"/>
  <c r="S19" i="14"/>
  <c r="S31" i="14" s="1"/>
  <c r="S43" i="14" s="1"/>
  <c r="S55" i="14" s="1"/>
  <c r="U42" i="22" s="1"/>
  <c r="R19" i="14"/>
  <c r="R31" i="14" s="1"/>
  <c r="R43" i="14" s="1"/>
  <c r="R55" i="14" s="1"/>
  <c r="T42" i="22" s="1"/>
  <c r="Q19" i="14"/>
  <c r="Q31" i="14" s="1"/>
  <c r="Q43" i="14" s="1"/>
  <c r="Q55" i="14" s="1"/>
  <c r="S42" i="22" s="1"/>
  <c r="P19" i="14"/>
  <c r="P31" i="14" s="1"/>
  <c r="P43" i="14" s="1"/>
  <c r="P55" i="14" s="1"/>
  <c r="R42" i="22" s="1"/>
  <c r="O19" i="14"/>
  <c r="O31" i="14" s="1"/>
  <c r="O43" i="14" s="1"/>
  <c r="O55" i="14" s="1"/>
  <c r="Q42" i="22" s="1"/>
  <c r="N19" i="14"/>
  <c r="N31" i="14" s="1"/>
  <c r="N43" i="14" s="1"/>
  <c r="N55" i="14" s="1"/>
  <c r="P42" i="22" s="1"/>
  <c r="M19" i="14"/>
  <c r="M31" i="14" s="1"/>
  <c r="M43" i="14" s="1"/>
  <c r="M55" i="14" s="1"/>
  <c r="O42" i="22" s="1"/>
  <c r="L19" i="14"/>
  <c r="L31" i="14" s="1"/>
  <c r="L43" i="14" s="1"/>
  <c r="L55" i="14" s="1"/>
  <c r="N42" i="22" s="1"/>
  <c r="K19" i="14"/>
  <c r="K31" i="14" s="1"/>
  <c r="K43" i="14" s="1"/>
  <c r="K55" i="14" s="1"/>
  <c r="M42" i="22" s="1"/>
  <c r="J19" i="14"/>
  <c r="J31" i="14" s="1"/>
  <c r="J43" i="14" s="1"/>
  <c r="J55" i="14" s="1"/>
  <c r="L42" i="22" s="1"/>
  <c r="I19" i="14"/>
  <c r="I31" i="14" s="1"/>
  <c r="I43" i="14" s="1"/>
  <c r="I55" i="14" s="1"/>
  <c r="K42" i="22" s="1"/>
  <c r="H19" i="14"/>
  <c r="H31" i="14" s="1"/>
  <c r="H43" i="14" s="1"/>
  <c r="H55" i="14" s="1"/>
  <c r="J42" i="22" s="1"/>
  <c r="G19" i="14"/>
  <c r="G31" i="14" s="1"/>
  <c r="G43" i="14" s="1"/>
  <c r="G55" i="14" s="1"/>
  <c r="I42" i="22" s="1"/>
  <c r="F19" i="14"/>
  <c r="F31" i="14" s="1"/>
  <c r="F43" i="14" s="1"/>
  <c r="F55" i="14" s="1"/>
  <c r="H42" i="22" s="1"/>
  <c r="E19" i="14"/>
  <c r="E31" i="14" s="1"/>
  <c r="E43" i="14" s="1"/>
  <c r="E55" i="14" s="1"/>
  <c r="G42" i="22" s="1"/>
  <c r="D19" i="14"/>
  <c r="D31" i="14" s="1"/>
  <c r="D43" i="14" s="1"/>
  <c r="D55" i="14" s="1"/>
  <c r="F42" i="22" s="1"/>
  <c r="C19" i="14"/>
  <c r="C31" i="14" s="1"/>
  <c r="C43" i="14" s="1"/>
  <c r="C55" i="14" s="1"/>
  <c r="E42" i="22" s="1"/>
  <c r="U14" i="14"/>
  <c r="W33" i="22" s="1"/>
  <c r="U13" i="14"/>
  <c r="W32" i="22" s="1"/>
  <c r="U12" i="14"/>
  <c r="W31" i="22" s="1"/>
  <c r="U11" i="14"/>
  <c r="W30" i="22" s="1"/>
  <c r="U10" i="14"/>
  <c r="W29" i="22" s="1"/>
  <c r="U9" i="14"/>
  <c r="W28" i="22" s="1"/>
  <c r="U8" i="14"/>
  <c r="W27" i="22" s="1"/>
  <c r="U7" i="14"/>
  <c r="W26" i="22" s="1"/>
  <c r="T26" i="12"/>
  <c r="T38" i="12" s="1"/>
  <c r="T50" i="12" s="1"/>
  <c r="T62" i="12" s="1"/>
  <c r="V49" i="20" s="1"/>
  <c r="S26" i="12"/>
  <c r="S38" i="12" s="1"/>
  <c r="S50" i="12" s="1"/>
  <c r="S62" i="12" s="1"/>
  <c r="U49" i="20" s="1"/>
  <c r="R26" i="12"/>
  <c r="R38" i="12" s="1"/>
  <c r="R50" i="12" s="1"/>
  <c r="R62" i="12" s="1"/>
  <c r="T49" i="20" s="1"/>
  <c r="Q26" i="12"/>
  <c r="Q38" i="12" s="1"/>
  <c r="Q50" i="12" s="1"/>
  <c r="Q62" i="12" s="1"/>
  <c r="S49" i="20" s="1"/>
  <c r="P26" i="12"/>
  <c r="P38" i="12" s="1"/>
  <c r="P50" i="12" s="1"/>
  <c r="P62" i="12" s="1"/>
  <c r="R49" i="20" s="1"/>
  <c r="O26" i="12"/>
  <c r="O38" i="12" s="1"/>
  <c r="O50" i="12" s="1"/>
  <c r="O62" i="12" s="1"/>
  <c r="Q49" i="20" s="1"/>
  <c r="N26" i="12"/>
  <c r="N38" i="12" s="1"/>
  <c r="N50" i="12" s="1"/>
  <c r="N62" i="12" s="1"/>
  <c r="P49" i="20" s="1"/>
  <c r="M26" i="12"/>
  <c r="M38" i="12" s="1"/>
  <c r="M50" i="12" s="1"/>
  <c r="M62" i="12" s="1"/>
  <c r="O49" i="20" s="1"/>
  <c r="L26" i="12"/>
  <c r="L38" i="12" s="1"/>
  <c r="L50" i="12" s="1"/>
  <c r="L62" i="12" s="1"/>
  <c r="N49" i="20" s="1"/>
  <c r="K26" i="12"/>
  <c r="K38" i="12" s="1"/>
  <c r="K50" i="12" s="1"/>
  <c r="K62" i="12" s="1"/>
  <c r="M49" i="20" s="1"/>
  <c r="J26" i="12"/>
  <c r="J38" i="12" s="1"/>
  <c r="J50" i="12" s="1"/>
  <c r="J62" i="12" s="1"/>
  <c r="L49" i="20" s="1"/>
  <c r="I26" i="12"/>
  <c r="I38" i="12" s="1"/>
  <c r="I50" i="12" s="1"/>
  <c r="I62" i="12" s="1"/>
  <c r="K49" i="20" s="1"/>
  <c r="H26" i="12"/>
  <c r="H38" i="12" s="1"/>
  <c r="H50" i="12" s="1"/>
  <c r="H62" i="12" s="1"/>
  <c r="J49" i="20" s="1"/>
  <c r="G26" i="12"/>
  <c r="G38" i="12" s="1"/>
  <c r="G50" i="12" s="1"/>
  <c r="G62" i="12" s="1"/>
  <c r="I49" i="20" s="1"/>
  <c r="F26" i="12"/>
  <c r="F38" i="12" s="1"/>
  <c r="F50" i="12" s="1"/>
  <c r="F62" i="12" s="1"/>
  <c r="H49" i="20" s="1"/>
  <c r="E26" i="12"/>
  <c r="E38" i="12" s="1"/>
  <c r="E50" i="12" s="1"/>
  <c r="E62" i="12" s="1"/>
  <c r="G49" i="20" s="1"/>
  <c r="D26" i="12"/>
  <c r="D38" i="12" s="1"/>
  <c r="D50" i="12" s="1"/>
  <c r="D62" i="12" s="1"/>
  <c r="F49" i="20" s="1"/>
  <c r="C26" i="12"/>
  <c r="C38" i="12" s="1"/>
  <c r="C50" i="12" s="1"/>
  <c r="C62" i="12" s="1"/>
  <c r="E49" i="20" s="1"/>
  <c r="T25" i="12"/>
  <c r="T37" i="12" s="1"/>
  <c r="T49" i="12" s="1"/>
  <c r="T61" i="12" s="1"/>
  <c r="V48" i="20" s="1"/>
  <c r="S25" i="12"/>
  <c r="S37" i="12" s="1"/>
  <c r="S49" i="12" s="1"/>
  <c r="S61" i="12" s="1"/>
  <c r="U48" i="20" s="1"/>
  <c r="R25" i="12"/>
  <c r="R37" i="12" s="1"/>
  <c r="R49" i="12" s="1"/>
  <c r="R61" i="12" s="1"/>
  <c r="T48" i="20" s="1"/>
  <c r="Q25" i="12"/>
  <c r="Q37" i="12" s="1"/>
  <c r="Q49" i="12" s="1"/>
  <c r="Q61" i="12" s="1"/>
  <c r="S48" i="20" s="1"/>
  <c r="P25" i="12"/>
  <c r="P37" i="12" s="1"/>
  <c r="P49" i="12" s="1"/>
  <c r="P61" i="12" s="1"/>
  <c r="R48" i="20" s="1"/>
  <c r="O25" i="12"/>
  <c r="O37" i="12" s="1"/>
  <c r="O49" i="12" s="1"/>
  <c r="O61" i="12" s="1"/>
  <c r="Q48" i="20" s="1"/>
  <c r="N25" i="12"/>
  <c r="N37" i="12" s="1"/>
  <c r="N49" i="12" s="1"/>
  <c r="N61" i="12" s="1"/>
  <c r="P48" i="20" s="1"/>
  <c r="M25" i="12"/>
  <c r="M37" i="12" s="1"/>
  <c r="M49" i="12" s="1"/>
  <c r="M61" i="12" s="1"/>
  <c r="O48" i="20" s="1"/>
  <c r="L25" i="12"/>
  <c r="L37" i="12" s="1"/>
  <c r="L49" i="12" s="1"/>
  <c r="L61" i="12" s="1"/>
  <c r="N48" i="20" s="1"/>
  <c r="K25" i="12"/>
  <c r="K37" i="12" s="1"/>
  <c r="K49" i="12" s="1"/>
  <c r="K61" i="12" s="1"/>
  <c r="M48" i="20" s="1"/>
  <c r="J25" i="12"/>
  <c r="J37" i="12" s="1"/>
  <c r="J49" i="12" s="1"/>
  <c r="J61" i="12" s="1"/>
  <c r="L48" i="20" s="1"/>
  <c r="I25" i="12"/>
  <c r="I37" i="12" s="1"/>
  <c r="I49" i="12" s="1"/>
  <c r="I61" i="12" s="1"/>
  <c r="K48" i="20" s="1"/>
  <c r="H25" i="12"/>
  <c r="H37" i="12" s="1"/>
  <c r="H49" i="12" s="1"/>
  <c r="H61" i="12" s="1"/>
  <c r="J48" i="20" s="1"/>
  <c r="G25" i="12"/>
  <c r="G37" i="12" s="1"/>
  <c r="G49" i="12" s="1"/>
  <c r="G61" i="12" s="1"/>
  <c r="I48" i="20" s="1"/>
  <c r="F25" i="12"/>
  <c r="F37" i="12" s="1"/>
  <c r="F49" i="12" s="1"/>
  <c r="F61" i="12" s="1"/>
  <c r="H48" i="20" s="1"/>
  <c r="E25" i="12"/>
  <c r="E37" i="12" s="1"/>
  <c r="E49" i="12" s="1"/>
  <c r="E61" i="12" s="1"/>
  <c r="G48" i="20" s="1"/>
  <c r="D25" i="12"/>
  <c r="D37" i="12" s="1"/>
  <c r="D49" i="12" s="1"/>
  <c r="D61" i="12" s="1"/>
  <c r="F48" i="20" s="1"/>
  <c r="C25" i="12"/>
  <c r="C37" i="12" s="1"/>
  <c r="C49" i="12" s="1"/>
  <c r="C61" i="12" s="1"/>
  <c r="E48" i="20" s="1"/>
  <c r="T24" i="12"/>
  <c r="T36" i="12" s="1"/>
  <c r="T48" i="12" s="1"/>
  <c r="T60" i="12" s="1"/>
  <c r="V47" i="20" s="1"/>
  <c r="S24" i="12"/>
  <c r="S36" i="12" s="1"/>
  <c r="S48" i="12" s="1"/>
  <c r="S60" i="12" s="1"/>
  <c r="U47" i="20" s="1"/>
  <c r="R24" i="12"/>
  <c r="R36" i="12" s="1"/>
  <c r="R48" i="12" s="1"/>
  <c r="R60" i="12" s="1"/>
  <c r="T47" i="20" s="1"/>
  <c r="Q24" i="12"/>
  <c r="Q36" i="12" s="1"/>
  <c r="Q48" i="12" s="1"/>
  <c r="Q60" i="12" s="1"/>
  <c r="S47" i="20" s="1"/>
  <c r="P24" i="12"/>
  <c r="P36" i="12" s="1"/>
  <c r="P48" i="12" s="1"/>
  <c r="P60" i="12" s="1"/>
  <c r="R47" i="20" s="1"/>
  <c r="O24" i="12"/>
  <c r="O36" i="12" s="1"/>
  <c r="O48" i="12" s="1"/>
  <c r="O60" i="12" s="1"/>
  <c r="Q47" i="20" s="1"/>
  <c r="N24" i="12"/>
  <c r="N36" i="12" s="1"/>
  <c r="N48" i="12" s="1"/>
  <c r="N60" i="12" s="1"/>
  <c r="P47" i="20" s="1"/>
  <c r="M24" i="12"/>
  <c r="M36" i="12" s="1"/>
  <c r="M48" i="12" s="1"/>
  <c r="M60" i="12" s="1"/>
  <c r="O47" i="20" s="1"/>
  <c r="L24" i="12"/>
  <c r="L36" i="12" s="1"/>
  <c r="L48" i="12" s="1"/>
  <c r="L60" i="12" s="1"/>
  <c r="N47" i="20" s="1"/>
  <c r="K24" i="12"/>
  <c r="K36" i="12" s="1"/>
  <c r="K48" i="12" s="1"/>
  <c r="K60" i="12" s="1"/>
  <c r="M47" i="20" s="1"/>
  <c r="J24" i="12"/>
  <c r="J36" i="12" s="1"/>
  <c r="J48" i="12" s="1"/>
  <c r="J60" i="12" s="1"/>
  <c r="L47" i="20" s="1"/>
  <c r="I24" i="12"/>
  <c r="I36" i="12" s="1"/>
  <c r="I48" i="12" s="1"/>
  <c r="I60" i="12" s="1"/>
  <c r="K47" i="20" s="1"/>
  <c r="H24" i="12"/>
  <c r="H36" i="12" s="1"/>
  <c r="H48" i="12" s="1"/>
  <c r="H60" i="12" s="1"/>
  <c r="J47" i="20" s="1"/>
  <c r="G24" i="12"/>
  <c r="G36" i="12" s="1"/>
  <c r="G48" i="12" s="1"/>
  <c r="G60" i="12" s="1"/>
  <c r="I47" i="20" s="1"/>
  <c r="F24" i="12"/>
  <c r="F36" i="12" s="1"/>
  <c r="F48" i="12" s="1"/>
  <c r="F60" i="12" s="1"/>
  <c r="H47" i="20" s="1"/>
  <c r="E24" i="12"/>
  <c r="E36" i="12" s="1"/>
  <c r="E48" i="12" s="1"/>
  <c r="E60" i="12" s="1"/>
  <c r="G47" i="20" s="1"/>
  <c r="D24" i="12"/>
  <c r="D36" i="12" s="1"/>
  <c r="D48" i="12" s="1"/>
  <c r="D60" i="12" s="1"/>
  <c r="F47" i="20" s="1"/>
  <c r="C24" i="12"/>
  <c r="C36" i="12" s="1"/>
  <c r="C48" i="12" s="1"/>
  <c r="C60" i="12" s="1"/>
  <c r="E47" i="20" s="1"/>
  <c r="T23" i="12"/>
  <c r="T35" i="12" s="1"/>
  <c r="T47" i="12" s="1"/>
  <c r="T59" i="12" s="1"/>
  <c r="V46" i="20" s="1"/>
  <c r="S23" i="12"/>
  <c r="S35" i="12" s="1"/>
  <c r="S47" i="12" s="1"/>
  <c r="S59" i="12" s="1"/>
  <c r="U46" i="20" s="1"/>
  <c r="R23" i="12"/>
  <c r="R35" i="12" s="1"/>
  <c r="R47" i="12" s="1"/>
  <c r="R59" i="12" s="1"/>
  <c r="T46" i="20" s="1"/>
  <c r="Q23" i="12"/>
  <c r="Q35" i="12" s="1"/>
  <c r="Q47" i="12" s="1"/>
  <c r="Q59" i="12" s="1"/>
  <c r="S46" i="20" s="1"/>
  <c r="P23" i="12"/>
  <c r="P35" i="12" s="1"/>
  <c r="P47" i="12" s="1"/>
  <c r="P59" i="12" s="1"/>
  <c r="R46" i="20" s="1"/>
  <c r="O23" i="12"/>
  <c r="O35" i="12" s="1"/>
  <c r="O47" i="12" s="1"/>
  <c r="O59" i="12" s="1"/>
  <c r="Q46" i="20" s="1"/>
  <c r="N23" i="12"/>
  <c r="N35" i="12" s="1"/>
  <c r="N47" i="12" s="1"/>
  <c r="N59" i="12" s="1"/>
  <c r="P46" i="20" s="1"/>
  <c r="M23" i="12"/>
  <c r="M35" i="12" s="1"/>
  <c r="M47" i="12" s="1"/>
  <c r="M59" i="12" s="1"/>
  <c r="O46" i="20" s="1"/>
  <c r="L23" i="12"/>
  <c r="L35" i="12" s="1"/>
  <c r="L47" i="12" s="1"/>
  <c r="L59" i="12" s="1"/>
  <c r="N46" i="20" s="1"/>
  <c r="K23" i="12"/>
  <c r="K35" i="12" s="1"/>
  <c r="K47" i="12" s="1"/>
  <c r="K59" i="12" s="1"/>
  <c r="M46" i="20" s="1"/>
  <c r="J23" i="12"/>
  <c r="J35" i="12" s="1"/>
  <c r="J47" i="12" s="1"/>
  <c r="J59" i="12" s="1"/>
  <c r="L46" i="20" s="1"/>
  <c r="I23" i="12"/>
  <c r="I35" i="12" s="1"/>
  <c r="I47" i="12" s="1"/>
  <c r="I59" i="12" s="1"/>
  <c r="K46" i="20" s="1"/>
  <c r="H23" i="12"/>
  <c r="H35" i="12" s="1"/>
  <c r="H47" i="12" s="1"/>
  <c r="H59" i="12" s="1"/>
  <c r="J46" i="20" s="1"/>
  <c r="G23" i="12"/>
  <c r="G35" i="12" s="1"/>
  <c r="G47" i="12" s="1"/>
  <c r="G59" i="12" s="1"/>
  <c r="I46" i="20" s="1"/>
  <c r="F23" i="12"/>
  <c r="F35" i="12" s="1"/>
  <c r="F47" i="12" s="1"/>
  <c r="F59" i="12" s="1"/>
  <c r="H46" i="20" s="1"/>
  <c r="E23" i="12"/>
  <c r="E35" i="12" s="1"/>
  <c r="E47" i="12" s="1"/>
  <c r="E59" i="12" s="1"/>
  <c r="G46" i="20" s="1"/>
  <c r="D23" i="12"/>
  <c r="D35" i="12" s="1"/>
  <c r="D47" i="12" s="1"/>
  <c r="D59" i="12" s="1"/>
  <c r="F46" i="20" s="1"/>
  <c r="C23" i="12"/>
  <c r="C35" i="12" s="1"/>
  <c r="C47" i="12" s="1"/>
  <c r="C59" i="12" s="1"/>
  <c r="E46" i="20" s="1"/>
  <c r="T22" i="12"/>
  <c r="T34" i="12" s="1"/>
  <c r="T46" i="12" s="1"/>
  <c r="T58" i="12" s="1"/>
  <c r="V45" i="20" s="1"/>
  <c r="S22" i="12"/>
  <c r="S34" i="12" s="1"/>
  <c r="S46" i="12" s="1"/>
  <c r="S58" i="12" s="1"/>
  <c r="U45" i="20" s="1"/>
  <c r="R22" i="12"/>
  <c r="R34" i="12" s="1"/>
  <c r="R46" i="12" s="1"/>
  <c r="R58" i="12" s="1"/>
  <c r="T45" i="20" s="1"/>
  <c r="Q22" i="12"/>
  <c r="Q34" i="12" s="1"/>
  <c r="Q46" i="12" s="1"/>
  <c r="Q58" i="12" s="1"/>
  <c r="S45" i="20" s="1"/>
  <c r="P22" i="12"/>
  <c r="P34" i="12" s="1"/>
  <c r="P46" i="12" s="1"/>
  <c r="P58" i="12" s="1"/>
  <c r="R45" i="20" s="1"/>
  <c r="O22" i="12"/>
  <c r="O34" i="12" s="1"/>
  <c r="O46" i="12" s="1"/>
  <c r="O58" i="12" s="1"/>
  <c r="Q45" i="20" s="1"/>
  <c r="N22" i="12"/>
  <c r="N34" i="12" s="1"/>
  <c r="N46" i="12" s="1"/>
  <c r="N58" i="12" s="1"/>
  <c r="P45" i="20" s="1"/>
  <c r="M22" i="12"/>
  <c r="M34" i="12" s="1"/>
  <c r="M46" i="12" s="1"/>
  <c r="M58" i="12" s="1"/>
  <c r="O45" i="20" s="1"/>
  <c r="L22" i="12"/>
  <c r="L34" i="12" s="1"/>
  <c r="L46" i="12" s="1"/>
  <c r="L58" i="12" s="1"/>
  <c r="N45" i="20" s="1"/>
  <c r="K22" i="12"/>
  <c r="K34" i="12" s="1"/>
  <c r="K46" i="12" s="1"/>
  <c r="K58" i="12" s="1"/>
  <c r="M45" i="20" s="1"/>
  <c r="J22" i="12"/>
  <c r="J34" i="12" s="1"/>
  <c r="J46" i="12" s="1"/>
  <c r="J58" i="12" s="1"/>
  <c r="L45" i="20" s="1"/>
  <c r="I22" i="12"/>
  <c r="I34" i="12" s="1"/>
  <c r="I46" i="12" s="1"/>
  <c r="I58" i="12" s="1"/>
  <c r="K45" i="20" s="1"/>
  <c r="H22" i="12"/>
  <c r="H34" i="12" s="1"/>
  <c r="H46" i="12" s="1"/>
  <c r="H58" i="12" s="1"/>
  <c r="J45" i="20" s="1"/>
  <c r="G22" i="12"/>
  <c r="G34" i="12" s="1"/>
  <c r="G46" i="12" s="1"/>
  <c r="G58" i="12" s="1"/>
  <c r="I45" i="20" s="1"/>
  <c r="F22" i="12"/>
  <c r="F34" i="12" s="1"/>
  <c r="F46" i="12" s="1"/>
  <c r="F58" i="12" s="1"/>
  <c r="H45" i="20" s="1"/>
  <c r="E22" i="12"/>
  <c r="E34" i="12" s="1"/>
  <c r="E46" i="12" s="1"/>
  <c r="E58" i="12" s="1"/>
  <c r="G45" i="20" s="1"/>
  <c r="D22" i="12"/>
  <c r="D34" i="12" s="1"/>
  <c r="D46" i="12" s="1"/>
  <c r="D58" i="12" s="1"/>
  <c r="F45" i="20" s="1"/>
  <c r="C22" i="12"/>
  <c r="C34" i="12" s="1"/>
  <c r="C46" i="12" s="1"/>
  <c r="C58" i="12" s="1"/>
  <c r="E45" i="20" s="1"/>
  <c r="T21" i="12"/>
  <c r="T33" i="12" s="1"/>
  <c r="T45" i="12" s="1"/>
  <c r="T57" i="12" s="1"/>
  <c r="V44" i="20" s="1"/>
  <c r="S21" i="12"/>
  <c r="S33" i="12" s="1"/>
  <c r="S45" i="12" s="1"/>
  <c r="S57" i="12" s="1"/>
  <c r="U44" i="20" s="1"/>
  <c r="R21" i="12"/>
  <c r="R33" i="12" s="1"/>
  <c r="R45" i="12" s="1"/>
  <c r="R57" i="12" s="1"/>
  <c r="T44" i="20" s="1"/>
  <c r="Q21" i="12"/>
  <c r="Q33" i="12" s="1"/>
  <c r="Q45" i="12" s="1"/>
  <c r="Q57" i="12" s="1"/>
  <c r="S44" i="20" s="1"/>
  <c r="P21" i="12"/>
  <c r="P33" i="12" s="1"/>
  <c r="P45" i="12" s="1"/>
  <c r="P57" i="12" s="1"/>
  <c r="R44" i="20" s="1"/>
  <c r="O21" i="12"/>
  <c r="O33" i="12" s="1"/>
  <c r="O45" i="12" s="1"/>
  <c r="O57" i="12" s="1"/>
  <c r="Q44" i="20" s="1"/>
  <c r="N21" i="12"/>
  <c r="N33" i="12" s="1"/>
  <c r="N45" i="12" s="1"/>
  <c r="N57" i="12" s="1"/>
  <c r="P44" i="20" s="1"/>
  <c r="M21" i="12"/>
  <c r="M33" i="12" s="1"/>
  <c r="M45" i="12" s="1"/>
  <c r="M57" i="12" s="1"/>
  <c r="O44" i="20" s="1"/>
  <c r="L21" i="12"/>
  <c r="L33" i="12" s="1"/>
  <c r="L45" i="12" s="1"/>
  <c r="L57" i="12" s="1"/>
  <c r="N44" i="20" s="1"/>
  <c r="K21" i="12"/>
  <c r="K33" i="12" s="1"/>
  <c r="K45" i="12" s="1"/>
  <c r="K57" i="12" s="1"/>
  <c r="M44" i="20" s="1"/>
  <c r="J21" i="12"/>
  <c r="J33" i="12" s="1"/>
  <c r="J45" i="12" s="1"/>
  <c r="J57" i="12" s="1"/>
  <c r="L44" i="20" s="1"/>
  <c r="I21" i="12"/>
  <c r="I33" i="12" s="1"/>
  <c r="I45" i="12" s="1"/>
  <c r="I57" i="12" s="1"/>
  <c r="K44" i="20" s="1"/>
  <c r="H21" i="12"/>
  <c r="H33" i="12" s="1"/>
  <c r="H45" i="12" s="1"/>
  <c r="H57" i="12" s="1"/>
  <c r="J44" i="20" s="1"/>
  <c r="G21" i="12"/>
  <c r="G33" i="12" s="1"/>
  <c r="G45" i="12" s="1"/>
  <c r="G57" i="12" s="1"/>
  <c r="I44" i="20" s="1"/>
  <c r="F21" i="12"/>
  <c r="F33" i="12" s="1"/>
  <c r="F45" i="12" s="1"/>
  <c r="F57" i="12" s="1"/>
  <c r="H44" i="20" s="1"/>
  <c r="E21" i="12"/>
  <c r="E33" i="12" s="1"/>
  <c r="E45" i="12" s="1"/>
  <c r="E57" i="12" s="1"/>
  <c r="G44" i="20" s="1"/>
  <c r="D21" i="12"/>
  <c r="D33" i="12" s="1"/>
  <c r="D45" i="12" s="1"/>
  <c r="D57" i="12" s="1"/>
  <c r="F44" i="20" s="1"/>
  <c r="C21" i="12"/>
  <c r="C33" i="12" s="1"/>
  <c r="C45" i="12" s="1"/>
  <c r="C57" i="12" s="1"/>
  <c r="E44" i="20" s="1"/>
  <c r="T20" i="12"/>
  <c r="T32" i="12" s="1"/>
  <c r="T44" i="12" s="1"/>
  <c r="T56" i="12" s="1"/>
  <c r="V43" i="20" s="1"/>
  <c r="S20" i="12"/>
  <c r="S32" i="12" s="1"/>
  <c r="S44" i="12" s="1"/>
  <c r="S56" i="12" s="1"/>
  <c r="U43" i="20" s="1"/>
  <c r="R20" i="12"/>
  <c r="R32" i="12" s="1"/>
  <c r="R44" i="12" s="1"/>
  <c r="R56" i="12" s="1"/>
  <c r="T43" i="20" s="1"/>
  <c r="Q20" i="12"/>
  <c r="Q32" i="12" s="1"/>
  <c r="Q44" i="12" s="1"/>
  <c r="Q56" i="12" s="1"/>
  <c r="S43" i="20" s="1"/>
  <c r="P20" i="12"/>
  <c r="P32" i="12" s="1"/>
  <c r="P44" i="12" s="1"/>
  <c r="P56" i="12" s="1"/>
  <c r="R43" i="20" s="1"/>
  <c r="O20" i="12"/>
  <c r="O32" i="12" s="1"/>
  <c r="O44" i="12" s="1"/>
  <c r="O56" i="12" s="1"/>
  <c r="Q43" i="20" s="1"/>
  <c r="N20" i="12"/>
  <c r="N32" i="12" s="1"/>
  <c r="N44" i="12" s="1"/>
  <c r="N56" i="12" s="1"/>
  <c r="P43" i="20" s="1"/>
  <c r="M20" i="12"/>
  <c r="M32" i="12" s="1"/>
  <c r="M44" i="12" s="1"/>
  <c r="M56" i="12" s="1"/>
  <c r="O43" i="20" s="1"/>
  <c r="L20" i="12"/>
  <c r="L32" i="12" s="1"/>
  <c r="L44" i="12" s="1"/>
  <c r="L56" i="12" s="1"/>
  <c r="N43" i="20" s="1"/>
  <c r="K20" i="12"/>
  <c r="K32" i="12" s="1"/>
  <c r="K44" i="12" s="1"/>
  <c r="K56" i="12" s="1"/>
  <c r="M43" i="20" s="1"/>
  <c r="J20" i="12"/>
  <c r="J32" i="12" s="1"/>
  <c r="J44" i="12" s="1"/>
  <c r="J56" i="12" s="1"/>
  <c r="L43" i="20" s="1"/>
  <c r="I20" i="12"/>
  <c r="I32" i="12" s="1"/>
  <c r="I44" i="12" s="1"/>
  <c r="I56" i="12" s="1"/>
  <c r="K43" i="20" s="1"/>
  <c r="H20" i="12"/>
  <c r="H32" i="12" s="1"/>
  <c r="H44" i="12" s="1"/>
  <c r="H56" i="12" s="1"/>
  <c r="J43" i="20" s="1"/>
  <c r="G20" i="12"/>
  <c r="G32" i="12" s="1"/>
  <c r="G44" i="12" s="1"/>
  <c r="G56" i="12" s="1"/>
  <c r="I43" i="20" s="1"/>
  <c r="F20" i="12"/>
  <c r="F32" i="12" s="1"/>
  <c r="F44" i="12" s="1"/>
  <c r="F56" i="12" s="1"/>
  <c r="H43" i="20" s="1"/>
  <c r="E20" i="12"/>
  <c r="E32" i="12" s="1"/>
  <c r="E44" i="12" s="1"/>
  <c r="E56" i="12" s="1"/>
  <c r="G43" i="20" s="1"/>
  <c r="D20" i="12"/>
  <c r="D32" i="12" s="1"/>
  <c r="D44" i="12" s="1"/>
  <c r="D56" i="12" s="1"/>
  <c r="F43" i="20" s="1"/>
  <c r="C20" i="12"/>
  <c r="C32" i="12" s="1"/>
  <c r="C44" i="12" s="1"/>
  <c r="C56" i="12" s="1"/>
  <c r="E43" i="20" s="1"/>
  <c r="T19" i="12"/>
  <c r="T31" i="12" s="1"/>
  <c r="T43" i="12" s="1"/>
  <c r="T55" i="12" s="1"/>
  <c r="V42" i="20" s="1"/>
  <c r="S19" i="12"/>
  <c r="S31" i="12" s="1"/>
  <c r="S43" i="12" s="1"/>
  <c r="S55" i="12" s="1"/>
  <c r="U42" i="20" s="1"/>
  <c r="R19" i="12"/>
  <c r="R31" i="12" s="1"/>
  <c r="R43" i="12" s="1"/>
  <c r="R55" i="12" s="1"/>
  <c r="T42" i="20" s="1"/>
  <c r="Q19" i="12"/>
  <c r="Q31" i="12" s="1"/>
  <c r="Q43" i="12" s="1"/>
  <c r="Q55" i="12" s="1"/>
  <c r="S42" i="20" s="1"/>
  <c r="P19" i="12"/>
  <c r="P31" i="12" s="1"/>
  <c r="P43" i="12" s="1"/>
  <c r="P55" i="12" s="1"/>
  <c r="R42" i="20" s="1"/>
  <c r="O19" i="12"/>
  <c r="O31" i="12" s="1"/>
  <c r="O43" i="12" s="1"/>
  <c r="O55" i="12" s="1"/>
  <c r="Q42" i="20" s="1"/>
  <c r="N19" i="12"/>
  <c r="N31" i="12" s="1"/>
  <c r="N43" i="12" s="1"/>
  <c r="N55" i="12" s="1"/>
  <c r="P42" i="20" s="1"/>
  <c r="M19" i="12"/>
  <c r="M31" i="12" s="1"/>
  <c r="M43" i="12" s="1"/>
  <c r="M55" i="12" s="1"/>
  <c r="O42" i="20" s="1"/>
  <c r="L19" i="12"/>
  <c r="L31" i="12" s="1"/>
  <c r="L43" i="12" s="1"/>
  <c r="L55" i="12" s="1"/>
  <c r="N42" i="20" s="1"/>
  <c r="K19" i="12"/>
  <c r="K31" i="12" s="1"/>
  <c r="K43" i="12" s="1"/>
  <c r="K55" i="12" s="1"/>
  <c r="M42" i="20" s="1"/>
  <c r="J19" i="12"/>
  <c r="J31" i="12" s="1"/>
  <c r="J43" i="12" s="1"/>
  <c r="J55" i="12" s="1"/>
  <c r="L42" i="20" s="1"/>
  <c r="I19" i="12"/>
  <c r="I31" i="12" s="1"/>
  <c r="I43" i="12" s="1"/>
  <c r="I55" i="12" s="1"/>
  <c r="K42" i="20" s="1"/>
  <c r="H19" i="12"/>
  <c r="H31" i="12" s="1"/>
  <c r="H43" i="12" s="1"/>
  <c r="H55" i="12" s="1"/>
  <c r="J42" i="20" s="1"/>
  <c r="G19" i="12"/>
  <c r="G31" i="12" s="1"/>
  <c r="G43" i="12" s="1"/>
  <c r="G55" i="12" s="1"/>
  <c r="I42" i="20" s="1"/>
  <c r="F19" i="12"/>
  <c r="F31" i="12" s="1"/>
  <c r="F43" i="12" s="1"/>
  <c r="F55" i="12" s="1"/>
  <c r="H42" i="20" s="1"/>
  <c r="E19" i="12"/>
  <c r="E31" i="12" s="1"/>
  <c r="E43" i="12" s="1"/>
  <c r="E55" i="12" s="1"/>
  <c r="G42" i="20" s="1"/>
  <c r="D19" i="12"/>
  <c r="D31" i="12" s="1"/>
  <c r="D43" i="12" s="1"/>
  <c r="D55" i="12" s="1"/>
  <c r="F42" i="20" s="1"/>
  <c r="C19" i="12"/>
  <c r="C31" i="12" s="1"/>
  <c r="C43" i="12" s="1"/>
  <c r="C55" i="12" s="1"/>
  <c r="E42" i="20" s="1"/>
  <c r="U14" i="12"/>
  <c r="W33" i="20" s="1"/>
  <c r="U13" i="12"/>
  <c r="W32" i="20" s="1"/>
  <c r="U12" i="12"/>
  <c r="W31" i="20" s="1"/>
  <c r="U11" i="12"/>
  <c r="W30" i="20" s="1"/>
  <c r="U10" i="12"/>
  <c r="W29" i="20" s="1"/>
  <c r="U9" i="12"/>
  <c r="W28" i="20" s="1"/>
  <c r="U8" i="12"/>
  <c r="W27" i="20" s="1"/>
  <c r="U7" i="12"/>
  <c r="W26" i="20" s="1"/>
  <c r="I26" i="10"/>
  <c r="I38" i="10" s="1"/>
  <c r="I50" i="10" s="1"/>
  <c r="I62" i="10" s="1"/>
  <c r="T26" i="10"/>
  <c r="T38" i="10" s="1"/>
  <c r="T50" i="10" s="1"/>
  <c r="T62" i="10" s="1"/>
  <c r="D25" i="10"/>
  <c r="D37" i="10" s="1"/>
  <c r="D49" i="10" s="1"/>
  <c r="D61" i="10" s="1"/>
  <c r="F48" i="1" s="1"/>
  <c r="E25" i="10"/>
  <c r="E37" i="10" s="1"/>
  <c r="E49" i="10" s="1"/>
  <c r="E61" i="10" s="1"/>
  <c r="G48" i="1" s="1"/>
  <c r="F25" i="10"/>
  <c r="F37" i="10" s="1"/>
  <c r="F49" i="10" s="1"/>
  <c r="F61" i="10" s="1"/>
  <c r="H48" i="1" s="1"/>
  <c r="G25" i="10"/>
  <c r="G37" i="10" s="1"/>
  <c r="G49" i="10" s="1"/>
  <c r="G61" i="10" s="1"/>
  <c r="I48" i="1" s="1"/>
  <c r="H25" i="10"/>
  <c r="H37" i="10" s="1"/>
  <c r="H49" i="10" s="1"/>
  <c r="H61" i="10" s="1"/>
  <c r="J48" i="1" s="1"/>
  <c r="I25" i="10"/>
  <c r="I37" i="10" s="1"/>
  <c r="I49" i="10" s="1"/>
  <c r="I61" i="10" s="1"/>
  <c r="K48" i="1" s="1"/>
  <c r="J25" i="10"/>
  <c r="J37" i="10" s="1"/>
  <c r="J49" i="10" s="1"/>
  <c r="J61" i="10" s="1"/>
  <c r="L48" i="1" s="1"/>
  <c r="K25" i="10"/>
  <c r="K37" i="10" s="1"/>
  <c r="K49" i="10" s="1"/>
  <c r="K61" i="10" s="1"/>
  <c r="M48" i="1" s="1"/>
  <c r="L25" i="10"/>
  <c r="L37" i="10" s="1"/>
  <c r="L49" i="10" s="1"/>
  <c r="L61" i="10" s="1"/>
  <c r="N48" i="1" s="1"/>
  <c r="M25" i="10"/>
  <c r="M37" i="10" s="1"/>
  <c r="M49" i="10" s="1"/>
  <c r="M61" i="10" s="1"/>
  <c r="O48" i="1" s="1"/>
  <c r="N25" i="10"/>
  <c r="N37" i="10" s="1"/>
  <c r="N49" i="10" s="1"/>
  <c r="N61" i="10" s="1"/>
  <c r="P48" i="1" s="1"/>
  <c r="O25" i="10"/>
  <c r="O37" i="10" s="1"/>
  <c r="O49" i="10" s="1"/>
  <c r="O61" i="10" s="1"/>
  <c r="Q48" i="1" s="1"/>
  <c r="P25" i="10"/>
  <c r="P37" i="10" s="1"/>
  <c r="P49" i="10" s="1"/>
  <c r="P61" i="10" s="1"/>
  <c r="R48" i="1" s="1"/>
  <c r="Q25" i="10"/>
  <c r="Q37" i="10" s="1"/>
  <c r="Q49" i="10" s="1"/>
  <c r="Q61" i="10" s="1"/>
  <c r="S48" i="1" s="1"/>
  <c r="R25" i="10"/>
  <c r="R37" i="10" s="1"/>
  <c r="R49" i="10" s="1"/>
  <c r="R61" i="10" s="1"/>
  <c r="T48" i="1" s="1"/>
  <c r="S25" i="10"/>
  <c r="S37" i="10" s="1"/>
  <c r="S49" i="10" s="1"/>
  <c r="S61" i="10" s="1"/>
  <c r="U48" i="1" s="1"/>
  <c r="T25" i="10"/>
  <c r="T37" i="10" s="1"/>
  <c r="T49" i="10" s="1"/>
  <c r="T61" i="10" s="1"/>
  <c r="V48" i="1" s="1"/>
  <c r="C25" i="10"/>
  <c r="C37" i="10" s="1"/>
  <c r="C49" i="10" s="1"/>
  <c r="C61" i="10" s="1"/>
  <c r="E24" i="10"/>
  <c r="E36" i="10" s="1"/>
  <c r="E48" i="10" s="1"/>
  <c r="E60" i="10" s="1"/>
  <c r="G24" i="10"/>
  <c r="G36" i="10" s="1"/>
  <c r="G48" i="10" s="1"/>
  <c r="G60" i="10" s="1"/>
  <c r="H24" i="10"/>
  <c r="H36" i="10" s="1"/>
  <c r="H48" i="10" s="1"/>
  <c r="H60" i="10" s="1"/>
  <c r="K24" i="10"/>
  <c r="K36" i="10" s="1"/>
  <c r="K48" i="10" s="1"/>
  <c r="K60" i="10" s="1"/>
  <c r="L24" i="10"/>
  <c r="L36" i="10" s="1"/>
  <c r="L48" i="10" s="1"/>
  <c r="L60" i="10" s="1"/>
  <c r="M24" i="10"/>
  <c r="M36" i="10" s="1"/>
  <c r="M48" i="10" s="1"/>
  <c r="M60" i="10" s="1"/>
  <c r="P24" i="10"/>
  <c r="P36" i="10" s="1"/>
  <c r="P48" i="10" s="1"/>
  <c r="P60" i="10" s="1"/>
  <c r="Q24" i="10"/>
  <c r="Q36" i="10" s="1"/>
  <c r="Q48" i="10" s="1"/>
  <c r="Q60" i="10" s="1"/>
  <c r="S24" i="10"/>
  <c r="S36" i="10" s="1"/>
  <c r="S48" i="10" s="1"/>
  <c r="S60" i="10" s="1"/>
  <c r="T24" i="10"/>
  <c r="T36" i="10" s="1"/>
  <c r="T48" i="10" s="1"/>
  <c r="T60" i="10" s="1"/>
  <c r="C24" i="10"/>
  <c r="C36" i="10" s="1"/>
  <c r="C48" i="10" s="1"/>
  <c r="C60" i="10" s="1"/>
  <c r="F23" i="10"/>
  <c r="F35" i="10" s="1"/>
  <c r="F47" i="10" s="1"/>
  <c r="F59" i="10" s="1"/>
  <c r="G23" i="10"/>
  <c r="G35" i="10" s="1"/>
  <c r="G47" i="10" s="1"/>
  <c r="G59" i="10" s="1"/>
  <c r="J23" i="10"/>
  <c r="J35" i="10" s="1"/>
  <c r="J47" i="10" s="1"/>
  <c r="J59" i="10" s="1"/>
  <c r="K23" i="10"/>
  <c r="K35" i="10" s="1"/>
  <c r="K47" i="10" s="1"/>
  <c r="K59" i="10" s="1"/>
  <c r="N23" i="10"/>
  <c r="N35" i="10" s="1"/>
  <c r="N47" i="10" s="1"/>
  <c r="N59" i="10" s="1"/>
  <c r="O23" i="10"/>
  <c r="O35" i="10" s="1"/>
  <c r="O47" i="10" s="1"/>
  <c r="O59" i="10" s="1"/>
  <c r="R23" i="10"/>
  <c r="R35" i="10" s="1"/>
  <c r="R47" i="10" s="1"/>
  <c r="R59" i="10" s="1"/>
  <c r="S23" i="10"/>
  <c r="S35" i="10" s="1"/>
  <c r="S47" i="10" s="1"/>
  <c r="S59" i="10" s="1"/>
  <c r="D22" i="10"/>
  <c r="D34" i="10" s="1"/>
  <c r="D46" i="10" s="1"/>
  <c r="D58" i="10" s="1"/>
  <c r="I22" i="10"/>
  <c r="I34" i="10" s="1"/>
  <c r="I46" i="10" s="1"/>
  <c r="I58" i="10" s="1"/>
  <c r="O22" i="10"/>
  <c r="O34" i="10" s="1"/>
  <c r="O46" i="10" s="1"/>
  <c r="O58" i="10" s="1"/>
  <c r="T22" i="10"/>
  <c r="T34" i="10" s="1"/>
  <c r="T46" i="10" s="1"/>
  <c r="T58" i="10" s="1"/>
  <c r="D21" i="10"/>
  <c r="D33" i="10" s="1"/>
  <c r="D45" i="10" s="1"/>
  <c r="D57" i="10" s="1"/>
  <c r="H21" i="10"/>
  <c r="H33" i="10" s="1"/>
  <c r="H45" i="10" s="1"/>
  <c r="H57" i="10" s="1"/>
  <c r="K21" i="10"/>
  <c r="K33" i="10" s="1"/>
  <c r="K45" i="10" s="1"/>
  <c r="K57" i="10" s="1"/>
  <c r="L21" i="10"/>
  <c r="L33" i="10" s="1"/>
  <c r="L45" i="10" s="1"/>
  <c r="L57" i="10" s="1"/>
  <c r="P21" i="10"/>
  <c r="P33" i="10" s="1"/>
  <c r="P45" i="10" s="1"/>
  <c r="P57" i="10" s="1"/>
  <c r="T21" i="10"/>
  <c r="T33" i="10" s="1"/>
  <c r="T45" i="10" s="1"/>
  <c r="T57" i="10" s="1"/>
  <c r="D20" i="10"/>
  <c r="D32" i="10" s="1"/>
  <c r="D44" i="10" s="1"/>
  <c r="D56" i="10" s="1"/>
  <c r="H20" i="10"/>
  <c r="H32" i="10" s="1"/>
  <c r="H44" i="10" s="1"/>
  <c r="H56" i="10" s="1"/>
  <c r="L20" i="10"/>
  <c r="L32" i="10" s="1"/>
  <c r="L44" i="10" s="1"/>
  <c r="L56" i="10" s="1"/>
  <c r="P20" i="10"/>
  <c r="P32" i="10" s="1"/>
  <c r="P44" i="10" s="1"/>
  <c r="P56" i="10" s="1"/>
  <c r="T20" i="10"/>
  <c r="T32" i="10" s="1"/>
  <c r="T44" i="10" s="1"/>
  <c r="T56" i="10" s="1"/>
  <c r="D19" i="10"/>
  <c r="E19" i="10"/>
  <c r="H19" i="10"/>
  <c r="I19" i="10"/>
  <c r="L19" i="10"/>
  <c r="M19" i="10"/>
  <c r="P19" i="10"/>
  <c r="Q19" i="10"/>
  <c r="T19" i="10"/>
  <c r="Q31" i="10" l="1"/>
  <c r="Q43" i="10" s="1"/>
  <c r="Q55" i="10" s="1"/>
  <c r="R86" i="10" s="1"/>
  <c r="R84" i="10"/>
  <c r="I31" i="10"/>
  <c r="I43" i="10" s="1"/>
  <c r="I55" i="10" s="1"/>
  <c r="I86" i="10" s="1"/>
  <c r="I84" i="10"/>
  <c r="M31" i="10"/>
  <c r="M43" i="10" s="1"/>
  <c r="M55" i="10" s="1"/>
  <c r="N86" i="10" s="1"/>
  <c r="N84" i="10"/>
  <c r="E31" i="10"/>
  <c r="E43" i="10" s="1"/>
  <c r="E55" i="10" s="1"/>
  <c r="E86" i="10" s="1"/>
  <c r="E84" i="10"/>
  <c r="T31" i="10"/>
  <c r="T43" i="10" s="1"/>
  <c r="T55" i="10" s="1"/>
  <c r="U86" i="10" s="1"/>
  <c r="U84" i="10"/>
  <c r="L31" i="10"/>
  <c r="L43" i="10" s="1"/>
  <c r="L55" i="10" s="1"/>
  <c r="M86" i="10" s="1"/>
  <c r="M84" i="10"/>
  <c r="D31" i="10"/>
  <c r="D43" i="10" s="1"/>
  <c r="D55" i="10" s="1"/>
  <c r="D86" i="10" s="1"/>
  <c r="D84" i="10"/>
  <c r="P31" i="10"/>
  <c r="P43" i="10" s="1"/>
  <c r="P55" i="10" s="1"/>
  <c r="Q86" i="10" s="1"/>
  <c r="Q84" i="10"/>
  <c r="H31" i="10"/>
  <c r="H43" i="10" s="1"/>
  <c r="H55" i="10" s="1"/>
  <c r="H86" i="10" s="1"/>
  <c r="H84" i="10"/>
  <c r="U32" i="15"/>
  <c r="E58" i="23" a="1"/>
  <c r="E58" i="23" s="1"/>
  <c r="E68" i="24" a="1"/>
  <c r="E68" i="24" s="1"/>
  <c r="D72" i="24" a="1"/>
  <c r="D72" i="24" s="1"/>
  <c r="E65" i="24" a="1"/>
  <c r="E65" i="24" s="1"/>
  <c r="O72" i="24" a="1"/>
  <c r="O72" i="24" s="1"/>
  <c r="E71" i="24" a="1"/>
  <c r="E71" i="24" s="1"/>
  <c r="U61" i="24"/>
  <c r="H67" i="24" a="1"/>
  <c r="H67" i="24" s="1"/>
  <c r="P72" i="24" a="1"/>
  <c r="P72" i="24" s="1"/>
  <c r="T65" i="24" a="1"/>
  <c r="T65" i="24" s="1"/>
  <c r="F71" i="24" a="1"/>
  <c r="F71" i="24" s="1"/>
  <c r="D70" i="24" a="1"/>
  <c r="D70" i="24" s="1"/>
  <c r="F68" i="24" a="1"/>
  <c r="F68" i="24" s="1"/>
  <c r="U60" i="24"/>
  <c r="H71" i="24" a="1"/>
  <c r="H71" i="24" s="1"/>
  <c r="K68" i="24" a="1"/>
  <c r="K68" i="24" s="1"/>
  <c r="T71" i="24" a="1"/>
  <c r="T71" i="24" s="1"/>
  <c r="G68" i="24" a="1"/>
  <c r="G68" i="24" s="1"/>
  <c r="G72" i="24" a="1"/>
  <c r="G72" i="24" s="1"/>
  <c r="G70" i="24" a="1"/>
  <c r="G70" i="24" s="1"/>
  <c r="G66" i="24" a="1"/>
  <c r="G66" i="24" s="1"/>
  <c r="G71" i="24" a="1"/>
  <c r="G71" i="24" s="1"/>
  <c r="G65" i="24" a="1"/>
  <c r="G65" i="24" s="1"/>
  <c r="G69" i="24" a="1"/>
  <c r="G69" i="24" s="1"/>
  <c r="G67" i="24" a="1"/>
  <c r="G67" i="24" s="1"/>
  <c r="F72" i="24" a="1"/>
  <c r="F72" i="24" s="1"/>
  <c r="K66" i="24" a="1"/>
  <c r="K66" i="24" s="1"/>
  <c r="O69" i="24" a="1"/>
  <c r="O69" i="24" s="1"/>
  <c r="O70" i="24" a="1"/>
  <c r="O70" i="24" s="1"/>
  <c r="U62" i="24"/>
  <c r="D67" i="24" a="1"/>
  <c r="D67" i="24" s="1"/>
  <c r="D71" i="24" a="1"/>
  <c r="D71" i="24" s="1"/>
  <c r="E70" i="24" a="1"/>
  <c r="E70" i="24" s="1"/>
  <c r="E66" i="24" a="1"/>
  <c r="E66" i="24" s="1"/>
  <c r="F66" i="24" a="1"/>
  <c r="F66" i="24" s="1"/>
  <c r="F67" i="24" a="1"/>
  <c r="F67" i="24" s="1"/>
  <c r="S72" i="24" a="1"/>
  <c r="S72" i="24" s="1"/>
  <c r="S66" i="24" a="1"/>
  <c r="S66" i="24" s="1"/>
  <c r="S70" i="24" a="1"/>
  <c r="S70" i="24" s="1"/>
  <c r="S68" i="24" a="1"/>
  <c r="S68" i="24" s="1"/>
  <c r="S67" i="24" a="1"/>
  <c r="S67" i="24" s="1"/>
  <c r="S71" i="24" a="1"/>
  <c r="S71" i="24" s="1"/>
  <c r="S65" i="24" a="1"/>
  <c r="S65" i="24" s="1"/>
  <c r="S69" i="24" a="1"/>
  <c r="S69" i="24" s="1"/>
  <c r="U58" i="24"/>
  <c r="I72" i="24" a="1"/>
  <c r="I72" i="24" s="1"/>
  <c r="I67" i="24" a="1"/>
  <c r="I67" i="24" s="1"/>
  <c r="I71" i="24" a="1"/>
  <c r="I71" i="24" s="1"/>
  <c r="I69" i="24" a="1"/>
  <c r="I69" i="24" s="1"/>
  <c r="I68" i="24" a="1"/>
  <c r="I68" i="24" s="1"/>
  <c r="I65" i="24" a="1"/>
  <c r="I65" i="24" s="1"/>
  <c r="I66" i="24" a="1"/>
  <c r="I66" i="24" s="1"/>
  <c r="I70" i="24" a="1"/>
  <c r="I70" i="24" s="1"/>
  <c r="H68" i="24" a="1"/>
  <c r="H68" i="24" s="1"/>
  <c r="H66" i="24" a="1"/>
  <c r="H66" i="24" s="1"/>
  <c r="K69" i="24" a="1"/>
  <c r="K69" i="24" s="1"/>
  <c r="K67" i="24" a="1"/>
  <c r="K67" i="24" s="1"/>
  <c r="T66" i="24" a="1"/>
  <c r="T66" i="24" s="1"/>
  <c r="T68" i="24" a="1"/>
  <c r="T68" i="24" s="1"/>
  <c r="O67" i="24" a="1"/>
  <c r="O67" i="24" s="1"/>
  <c r="O65" i="24" a="1"/>
  <c r="O65" i="24" s="1"/>
  <c r="P65" i="24" a="1"/>
  <c r="P65" i="24" s="1"/>
  <c r="P66" i="24" a="1"/>
  <c r="P66" i="24" s="1"/>
  <c r="M65" i="24" a="1"/>
  <c r="M65" i="24" s="1"/>
  <c r="M71" i="24" a="1"/>
  <c r="M71" i="24" s="1"/>
  <c r="M69" i="24" a="1"/>
  <c r="M69" i="24" s="1"/>
  <c r="M66" i="24" a="1"/>
  <c r="M66" i="24" s="1"/>
  <c r="M72" i="24" a="1"/>
  <c r="M72" i="24" s="1"/>
  <c r="M67" i="24" a="1"/>
  <c r="M67" i="24" s="1"/>
  <c r="M70" i="24" a="1"/>
  <c r="M70" i="24" s="1"/>
  <c r="M68" i="24" a="1"/>
  <c r="M68" i="24" s="1"/>
  <c r="H72" i="24" a="1"/>
  <c r="H72" i="24" s="1"/>
  <c r="T72" i="24" a="1"/>
  <c r="T72" i="24" s="1"/>
  <c r="P71" i="24" a="1"/>
  <c r="P71" i="24" s="1"/>
  <c r="U57" i="24"/>
  <c r="D65" i="24" a="1"/>
  <c r="D65" i="24" s="1"/>
  <c r="D68" i="24" a="1"/>
  <c r="D68" i="24" s="1"/>
  <c r="E72" i="24" a="1"/>
  <c r="E72" i="24" s="1"/>
  <c r="E69" i="24" a="1"/>
  <c r="E69" i="24" s="1"/>
  <c r="N72" i="24" a="1"/>
  <c r="N72" i="24" s="1"/>
  <c r="N71" i="24" a="1"/>
  <c r="N71" i="24" s="1"/>
  <c r="N69" i="24" a="1"/>
  <c r="N69" i="24" s="1"/>
  <c r="N67" i="24" a="1"/>
  <c r="N67" i="24" s="1"/>
  <c r="N70" i="24" a="1"/>
  <c r="N70" i="24" s="1"/>
  <c r="N68" i="24" a="1"/>
  <c r="N68" i="24" s="1"/>
  <c r="N65" i="24" a="1"/>
  <c r="N65" i="24" s="1"/>
  <c r="N66" i="24" a="1"/>
  <c r="N66" i="24" s="1"/>
  <c r="L72" i="24" a="1"/>
  <c r="L72" i="24" s="1"/>
  <c r="L70" i="24" a="1"/>
  <c r="L70" i="24" s="1"/>
  <c r="L68" i="24" a="1"/>
  <c r="L68" i="24" s="1"/>
  <c r="L65" i="24" a="1"/>
  <c r="L65" i="24" s="1"/>
  <c r="L71" i="24" a="1"/>
  <c r="L71" i="24" s="1"/>
  <c r="L69" i="24" a="1"/>
  <c r="L69" i="24" s="1"/>
  <c r="L66" i="24" a="1"/>
  <c r="L66" i="24" s="1"/>
  <c r="L67" i="24" a="1"/>
  <c r="L67" i="24" s="1"/>
  <c r="R72" i="24" a="1"/>
  <c r="R72" i="24" s="1"/>
  <c r="R71" i="24" a="1"/>
  <c r="R71" i="24" s="1"/>
  <c r="R69" i="24" a="1"/>
  <c r="R69" i="24" s="1"/>
  <c r="R65" i="24" a="1"/>
  <c r="R65" i="24" s="1"/>
  <c r="R66" i="24" a="1"/>
  <c r="R66" i="24" s="1"/>
  <c r="R70" i="24" a="1"/>
  <c r="R70" i="24" s="1"/>
  <c r="R68" i="24" a="1"/>
  <c r="R68" i="24" s="1"/>
  <c r="R67" i="24" a="1"/>
  <c r="R67" i="24" s="1"/>
  <c r="F70" i="24" a="1"/>
  <c r="F70" i="24" s="1"/>
  <c r="F69" i="24" a="1"/>
  <c r="F69" i="24" s="1"/>
  <c r="H69" i="24" a="1"/>
  <c r="H69" i="24" s="1"/>
  <c r="H70" i="24" a="1"/>
  <c r="H70" i="24" s="1"/>
  <c r="K71" i="24" a="1"/>
  <c r="K71" i="24" s="1"/>
  <c r="K70" i="24" a="1"/>
  <c r="K70" i="24" s="1"/>
  <c r="T69" i="24" a="1"/>
  <c r="T69" i="24" s="1"/>
  <c r="T70" i="24" a="1"/>
  <c r="T70" i="24" s="1"/>
  <c r="O71" i="24" a="1"/>
  <c r="O71" i="24" s="1"/>
  <c r="O68" i="24" a="1"/>
  <c r="O68" i="24" s="1"/>
  <c r="P69" i="24" a="1"/>
  <c r="P69" i="24" s="1"/>
  <c r="P68" i="24" a="1"/>
  <c r="P68" i="24" s="1"/>
  <c r="U63" i="24"/>
  <c r="D66" i="24" a="1"/>
  <c r="D66" i="24" s="1"/>
  <c r="K72" i="24" a="1"/>
  <c r="K72" i="24" s="1"/>
  <c r="P70" i="24" a="1"/>
  <c r="P70" i="24" s="1"/>
  <c r="J72" i="24" a="1"/>
  <c r="J72" i="24" s="1"/>
  <c r="J71" i="24" a="1"/>
  <c r="J71" i="24" s="1"/>
  <c r="J69" i="24" a="1"/>
  <c r="J69" i="24" s="1"/>
  <c r="J65" i="24" a="1"/>
  <c r="J65" i="24" s="1"/>
  <c r="J66" i="24" a="1"/>
  <c r="J66" i="24" s="1"/>
  <c r="J70" i="24" a="1"/>
  <c r="J70" i="24" s="1"/>
  <c r="J67" i="24" a="1"/>
  <c r="J67" i="24" s="1"/>
  <c r="J68" i="24" a="1"/>
  <c r="J68" i="24" s="1"/>
  <c r="C66" i="24" a="1"/>
  <c r="C66" i="24" s="1"/>
  <c r="C72" i="24" a="1"/>
  <c r="C72" i="24" s="1"/>
  <c r="C70" i="24" a="1"/>
  <c r="C70" i="24" s="1"/>
  <c r="C67" i="24" a="1"/>
  <c r="C67" i="24" s="1"/>
  <c r="C68" i="24" a="1"/>
  <c r="C68" i="24" s="1"/>
  <c r="C71" i="24" a="1"/>
  <c r="C71" i="24" s="1"/>
  <c r="C65" i="24" a="1"/>
  <c r="C65" i="24" s="1"/>
  <c r="U56" i="24"/>
  <c r="C69" i="24" a="1"/>
  <c r="C69" i="24" s="1"/>
  <c r="U59" i="24"/>
  <c r="D69" i="24" a="1"/>
  <c r="D69" i="24" s="1"/>
  <c r="E67" i="24" a="1"/>
  <c r="E67" i="24" s="1"/>
  <c r="Q72" i="24" a="1"/>
  <c r="Q72" i="24" s="1"/>
  <c r="Q67" i="24" a="1"/>
  <c r="Q67" i="24" s="1"/>
  <c r="Q71" i="24" a="1"/>
  <c r="Q71" i="24" s="1"/>
  <c r="Q69" i="24" a="1"/>
  <c r="Q69" i="24" s="1"/>
  <c r="Q65" i="24" a="1"/>
  <c r="Q65" i="24" s="1"/>
  <c r="Q68" i="24" a="1"/>
  <c r="Q68" i="24" s="1"/>
  <c r="Q66" i="24" a="1"/>
  <c r="Q66" i="24" s="1"/>
  <c r="Q70" i="24" a="1"/>
  <c r="Q70" i="24" s="1"/>
  <c r="F65" i="24" a="1"/>
  <c r="F65" i="24" s="1"/>
  <c r="H65" i="24" a="1"/>
  <c r="H65" i="24" s="1"/>
  <c r="K65" i="24" a="1"/>
  <c r="K65" i="24" s="1"/>
  <c r="T67" i="24" a="1"/>
  <c r="T67" i="24" s="1"/>
  <c r="O66" i="24" a="1"/>
  <c r="O66" i="24" s="1"/>
  <c r="P67" i="24" a="1"/>
  <c r="P67" i="24" s="1"/>
  <c r="L43" i="19"/>
  <c r="I43" i="19"/>
  <c r="H43" i="19"/>
  <c r="G43" i="19"/>
  <c r="W27" i="19"/>
  <c r="O42" i="1"/>
  <c r="G42" i="1"/>
  <c r="V42" i="1"/>
  <c r="F42" i="1"/>
  <c r="S42" i="1"/>
  <c r="K42" i="1"/>
  <c r="N43" i="1"/>
  <c r="J43" i="1"/>
  <c r="F43" i="1"/>
  <c r="I43" i="1"/>
  <c r="V43" i="1"/>
  <c r="R43" i="1"/>
  <c r="F44" i="1"/>
  <c r="M44" i="1"/>
  <c r="R44" i="1"/>
  <c r="N44" i="1"/>
  <c r="O21" i="10"/>
  <c r="O33" i="10" s="1"/>
  <c r="O45" i="10" s="1"/>
  <c r="O57" i="10" s="1"/>
  <c r="R21" i="10"/>
  <c r="R33" i="10" s="1"/>
  <c r="R45" i="10" s="1"/>
  <c r="R57" i="10" s="1"/>
  <c r="N21" i="10"/>
  <c r="N33" i="10" s="1"/>
  <c r="N45" i="10" s="1"/>
  <c r="N57" i="10" s="1"/>
  <c r="J21" i="10"/>
  <c r="J33" i="10" s="1"/>
  <c r="J45" i="10" s="1"/>
  <c r="J57" i="10" s="1"/>
  <c r="F21" i="10"/>
  <c r="F33" i="10" s="1"/>
  <c r="F45" i="10" s="1"/>
  <c r="F57" i="10" s="1"/>
  <c r="V44" i="1"/>
  <c r="J44" i="1"/>
  <c r="S21" i="10"/>
  <c r="S33" i="10" s="1"/>
  <c r="S45" i="10" s="1"/>
  <c r="S57" i="10" s="1"/>
  <c r="G21" i="10"/>
  <c r="G33" i="10" s="1"/>
  <c r="G45" i="10" s="1"/>
  <c r="G57" i="10" s="1"/>
  <c r="C21" i="10"/>
  <c r="C33" i="10" s="1"/>
  <c r="C45" i="10" s="1"/>
  <c r="C57" i="10" s="1"/>
  <c r="E44" i="1" s="1"/>
  <c r="Q21" i="10"/>
  <c r="Q33" i="10" s="1"/>
  <c r="Q45" i="10" s="1"/>
  <c r="Q57" i="10" s="1"/>
  <c r="M21" i="10"/>
  <c r="M33" i="10" s="1"/>
  <c r="M45" i="10" s="1"/>
  <c r="M57" i="10" s="1"/>
  <c r="I21" i="10"/>
  <c r="I33" i="10" s="1"/>
  <c r="I45" i="10" s="1"/>
  <c r="I57" i="10" s="1"/>
  <c r="E21" i="10"/>
  <c r="E33" i="10" s="1"/>
  <c r="E45" i="10" s="1"/>
  <c r="E57" i="10" s="1"/>
  <c r="Q45" i="1"/>
  <c r="F45" i="1"/>
  <c r="V45" i="1"/>
  <c r="H45" i="1"/>
  <c r="K45" i="1"/>
  <c r="P46" i="1"/>
  <c r="H46" i="1"/>
  <c r="U46" i="1"/>
  <c r="M46" i="1"/>
  <c r="T46" i="1"/>
  <c r="L46" i="1"/>
  <c r="Q46" i="1"/>
  <c r="I46" i="1"/>
  <c r="O47" i="1"/>
  <c r="S47" i="1"/>
  <c r="N47" i="1"/>
  <c r="I47" i="1"/>
  <c r="J47" i="1"/>
  <c r="G47" i="1"/>
  <c r="H47" i="1"/>
  <c r="U47" i="1"/>
  <c r="R47" i="1"/>
  <c r="M47" i="1"/>
  <c r="V47" i="1"/>
  <c r="O24" i="10"/>
  <c r="O36" i="10" s="1"/>
  <c r="O48" i="10" s="1"/>
  <c r="O60" i="10" s="1"/>
  <c r="I24" i="10"/>
  <c r="I36" i="10" s="1"/>
  <c r="I48" i="10" s="1"/>
  <c r="I60" i="10" s="1"/>
  <c r="D24" i="10"/>
  <c r="D36" i="10" s="1"/>
  <c r="D48" i="10" s="1"/>
  <c r="D60" i="10" s="1"/>
  <c r="V49" i="1"/>
  <c r="H49" i="1"/>
  <c r="K49" i="1"/>
  <c r="O26" i="10"/>
  <c r="O38" i="10" s="1"/>
  <c r="O50" i="10" s="1"/>
  <c r="O62" i="10" s="1"/>
  <c r="D26" i="10"/>
  <c r="D38" i="10" s="1"/>
  <c r="D50" i="10" s="1"/>
  <c r="D62" i="10" s="1"/>
  <c r="C23" i="10"/>
  <c r="C35" i="10" s="1"/>
  <c r="C47" i="10" s="1"/>
  <c r="C59" i="10" s="1"/>
  <c r="Q23" i="10"/>
  <c r="Q35" i="10" s="1"/>
  <c r="Q47" i="10" s="1"/>
  <c r="Q59" i="10" s="1"/>
  <c r="M23" i="10"/>
  <c r="M35" i="10" s="1"/>
  <c r="M47" i="10" s="1"/>
  <c r="M59" i="10" s="1"/>
  <c r="I23" i="10"/>
  <c r="I35" i="10" s="1"/>
  <c r="I47" i="10" s="1"/>
  <c r="I59" i="10" s="1"/>
  <c r="E23" i="10"/>
  <c r="E35" i="10" s="1"/>
  <c r="E47" i="10" s="1"/>
  <c r="E59" i="10" s="1"/>
  <c r="T23" i="10"/>
  <c r="T35" i="10" s="1"/>
  <c r="T47" i="10" s="1"/>
  <c r="T59" i="10" s="1"/>
  <c r="P23" i="10"/>
  <c r="P35" i="10" s="1"/>
  <c r="P47" i="10" s="1"/>
  <c r="P59" i="10" s="1"/>
  <c r="L23" i="10"/>
  <c r="L35" i="10" s="1"/>
  <c r="L47" i="10" s="1"/>
  <c r="L59" i="10" s="1"/>
  <c r="H23" i="10"/>
  <c r="H35" i="10" s="1"/>
  <c r="H47" i="10" s="1"/>
  <c r="H59" i="10" s="1"/>
  <c r="D23" i="10"/>
  <c r="D35" i="10" s="1"/>
  <c r="D47" i="10" s="1"/>
  <c r="D59" i="10" s="1"/>
  <c r="C19" i="10"/>
  <c r="S19" i="10"/>
  <c r="O19" i="10"/>
  <c r="K19" i="10"/>
  <c r="G19" i="10"/>
  <c r="R19" i="10"/>
  <c r="N19" i="10"/>
  <c r="J19" i="10"/>
  <c r="F19" i="10"/>
  <c r="U33" i="11"/>
  <c r="W44" i="19" s="1"/>
  <c r="F44" i="19"/>
  <c r="F46" i="19"/>
  <c r="F47" i="19"/>
  <c r="U36" i="11"/>
  <c r="W47" i="19" s="1"/>
  <c r="F48" i="19"/>
  <c r="U34" i="15"/>
  <c r="U38" i="15"/>
  <c r="U36" i="15"/>
  <c r="U31" i="15"/>
  <c r="U33" i="15"/>
  <c r="U35" i="15"/>
  <c r="U37" i="15"/>
  <c r="U55" i="12"/>
  <c r="U60" i="14"/>
  <c r="U58" i="14"/>
  <c r="U56" i="14"/>
  <c r="U57" i="12"/>
  <c r="U59" i="12"/>
  <c r="U61" i="12"/>
  <c r="Q23" i="11"/>
  <c r="Q35" i="11" s="1"/>
  <c r="S46" i="19" s="1"/>
  <c r="M23" i="11"/>
  <c r="M35" i="11" s="1"/>
  <c r="O46" i="19" s="1"/>
  <c r="H23" i="11"/>
  <c r="H35" i="11" s="1"/>
  <c r="J46" i="19" s="1"/>
  <c r="C23" i="11"/>
  <c r="C35" i="11" s="1"/>
  <c r="E46" i="19" s="1"/>
  <c r="T23" i="11"/>
  <c r="T35" i="11" s="1"/>
  <c r="V46" i="19" s="1"/>
  <c r="P23" i="11"/>
  <c r="P35" i="11" s="1"/>
  <c r="R46" i="19" s="1"/>
  <c r="L23" i="11"/>
  <c r="L35" i="11" s="1"/>
  <c r="N46" i="19" s="1"/>
  <c r="G23" i="11"/>
  <c r="G35" i="11" s="1"/>
  <c r="I46" i="19" s="1"/>
  <c r="E23" i="11"/>
  <c r="E35" i="11" s="1"/>
  <c r="G46" i="19" s="1"/>
  <c r="S23" i="11"/>
  <c r="S35" i="11" s="1"/>
  <c r="U46" i="19" s="1"/>
  <c r="O23" i="11"/>
  <c r="O35" i="11" s="1"/>
  <c r="Q46" i="19" s="1"/>
  <c r="K23" i="11"/>
  <c r="K35" i="11" s="1"/>
  <c r="M46" i="19" s="1"/>
  <c r="D19" i="11"/>
  <c r="D31" i="11" s="1"/>
  <c r="J50" i="11" a="1"/>
  <c r="J50" i="11" s="1"/>
  <c r="R49" i="11" a="1"/>
  <c r="R49" i="11" s="1"/>
  <c r="J47" i="11" a="1"/>
  <c r="J47" i="11" s="1"/>
  <c r="N50" i="11" a="1"/>
  <c r="N50" i="11" s="1"/>
  <c r="N47" i="11" a="1"/>
  <c r="N47" i="11" s="1"/>
  <c r="N51" i="11" a="1"/>
  <c r="N51" i="11" s="1"/>
  <c r="N44" i="11" a="1"/>
  <c r="N44" i="11" s="1"/>
  <c r="N49" i="11" a="1"/>
  <c r="N49" i="11" s="1"/>
  <c r="N45" i="11" a="1"/>
  <c r="N45" i="11" s="1"/>
  <c r="R44" i="11" a="1"/>
  <c r="R44" i="11" s="1"/>
  <c r="N46" i="11" a="1"/>
  <c r="N46" i="11" s="1"/>
  <c r="F48" i="11" a="1"/>
  <c r="F48" i="11" s="1"/>
  <c r="F45" i="11" a="1"/>
  <c r="F45" i="11" s="1"/>
  <c r="F44" i="11" a="1"/>
  <c r="F44" i="11" s="1"/>
  <c r="F47" i="11" a="1"/>
  <c r="F47" i="11" s="1"/>
  <c r="F50" i="11" a="1"/>
  <c r="F50" i="11" s="1"/>
  <c r="F51" i="11" a="1"/>
  <c r="F51" i="11" s="1"/>
  <c r="R46" i="11" a="1"/>
  <c r="R46" i="11" s="1"/>
  <c r="R45" i="11" a="1"/>
  <c r="R45" i="11" s="1"/>
  <c r="R51" i="11" a="1"/>
  <c r="R51" i="11" s="1"/>
  <c r="R47" i="11" a="1"/>
  <c r="R47" i="11" s="1"/>
  <c r="R48" i="11" a="1"/>
  <c r="R48" i="11" s="1"/>
  <c r="J48" i="11" a="1"/>
  <c r="J48" i="11" s="1"/>
  <c r="J49" i="11" a="1"/>
  <c r="J49" i="11" s="1"/>
  <c r="F46" i="11" a="1"/>
  <c r="F46" i="11" s="1"/>
  <c r="J51" i="11" a="1"/>
  <c r="J51" i="11" s="1"/>
  <c r="F49" i="11" a="1"/>
  <c r="F49" i="11" s="1"/>
  <c r="N48" i="11" a="1"/>
  <c r="N48" i="11" s="1"/>
  <c r="J46" i="11" a="1"/>
  <c r="J46" i="11" s="1"/>
  <c r="J45" i="11" a="1"/>
  <c r="J45" i="11" s="1"/>
  <c r="J44" i="11" a="1"/>
  <c r="J44" i="11" s="1"/>
  <c r="R50" i="11" a="1"/>
  <c r="R50" i="11" s="1"/>
  <c r="T26" i="11"/>
  <c r="T38" i="11" s="1"/>
  <c r="V49" i="19" s="1"/>
  <c r="P26" i="11"/>
  <c r="P38" i="11" s="1"/>
  <c r="R49" i="19" s="1"/>
  <c r="L26" i="11"/>
  <c r="L38" i="11" s="1"/>
  <c r="N49" i="19" s="1"/>
  <c r="H26" i="11"/>
  <c r="H38" i="11" s="1"/>
  <c r="J49" i="19" s="1"/>
  <c r="D26" i="11"/>
  <c r="D38" i="11" s="1"/>
  <c r="S25" i="11"/>
  <c r="S37" i="11" s="1"/>
  <c r="O25" i="11"/>
  <c r="O37" i="11" s="1"/>
  <c r="K25" i="11"/>
  <c r="K37" i="11" s="1"/>
  <c r="M48" i="19" s="1"/>
  <c r="G25" i="11"/>
  <c r="G37" i="11" s="1"/>
  <c r="I48" i="19" s="1"/>
  <c r="C25" i="11"/>
  <c r="C37" i="11" s="1"/>
  <c r="E48" i="19" s="1"/>
  <c r="I23" i="11"/>
  <c r="I35" i="11" s="1"/>
  <c r="K46" i="19" s="1"/>
  <c r="T22" i="11"/>
  <c r="T34" i="11" s="1"/>
  <c r="V45" i="19" s="1"/>
  <c r="P22" i="11"/>
  <c r="P34" i="11" s="1"/>
  <c r="R45" i="19" s="1"/>
  <c r="L22" i="11"/>
  <c r="L34" i="11" s="1"/>
  <c r="N45" i="19" s="1"/>
  <c r="H22" i="11"/>
  <c r="H34" i="11" s="1"/>
  <c r="J45" i="19" s="1"/>
  <c r="D22" i="11"/>
  <c r="D34" i="11" s="1"/>
  <c r="T20" i="11"/>
  <c r="T32" i="11" s="1"/>
  <c r="V43" i="19" s="1"/>
  <c r="P20" i="11"/>
  <c r="P32" i="11" s="1"/>
  <c r="R43" i="19" s="1"/>
  <c r="L20" i="11"/>
  <c r="L32" i="11" s="1"/>
  <c r="N43" i="19" s="1"/>
  <c r="H20" i="11"/>
  <c r="H32" i="11" s="1"/>
  <c r="D20" i="11"/>
  <c r="D32" i="11" s="1"/>
  <c r="C20" i="11"/>
  <c r="C32" i="11" s="1"/>
  <c r="I25" i="11"/>
  <c r="I37" i="11" s="1"/>
  <c r="K48" i="19" s="1"/>
  <c r="E25" i="11"/>
  <c r="E37" i="11" s="1"/>
  <c r="G48" i="19" s="1"/>
  <c r="Q26" i="11"/>
  <c r="Q38" i="11" s="1"/>
  <c r="S49" i="19" s="1"/>
  <c r="M26" i="11"/>
  <c r="M38" i="11" s="1"/>
  <c r="O49" i="19" s="1"/>
  <c r="I26" i="11"/>
  <c r="I38" i="11" s="1"/>
  <c r="K49" i="19" s="1"/>
  <c r="T25" i="11"/>
  <c r="T37" i="11" s="1"/>
  <c r="V48" i="19" s="1"/>
  <c r="P25" i="11"/>
  <c r="P37" i="11" s="1"/>
  <c r="R48" i="19" s="1"/>
  <c r="L25" i="11"/>
  <c r="L37" i="11" s="1"/>
  <c r="N48" i="19" s="1"/>
  <c r="H25" i="11"/>
  <c r="H37" i="11" s="1"/>
  <c r="J48" i="19" s="1"/>
  <c r="Q22" i="11"/>
  <c r="Q34" i="11" s="1"/>
  <c r="S45" i="19" s="1"/>
  <c r="M22" i="11"/>
  <c r="M34" i="11" s="1"/>
  <c r="O45" i="19" s="1"/>
  <c r="I22" i="11"/>
  <c r="I34" i="11" s="1"/>
  <c r="K45" i="19" s="1"/>
  <c r="Q20" i="11"/>
  <c r="Q32" i="11" s="1"/>
  <c r="S43" i="19" s="1"/>
  <c r="M20" i="11"/>
  <c r="M32" i="11" s="1"/>
  <c r="O43" i="19" s="1"/>
  <c r="I20" i="11"/>
  <c r="I32" i="11" s="1"/>
  <c r="Q26" i="10"/>
  <c r="Q38" i="10" s="1"/>
  <c r="Q50" i="10" s="1"/>
  <c r="Q62" i="10" s="1"/>
  <c r="L26" i="10"/>
  <c r="L38" i="10" s="1"/>
  <c r="L50" i="10" s="1"/>
  <c r="L62" i="10" s="1"/>
  <c r="G26" i="10"/>
  <c r="G38" i="10" s="1"/>
  <c r="G50" i="10" s="1"/>
  <c r="G62" i="10" s="1"/>
  <c r="C26" i="10"/>
  <c r="C38" i="10" s="1"/>
  <c r="C50" i="10" s="1"/>
  <c r="C62" i="10" s="1"/>
  <c r="P26" i="10"/>
  <c r="P38" i="10" s="1"/>
  <c r="P50" i="10" s="1"/>
  <c r="P62" i="10" s="1"/>
  <c r="K26" i="10"/>
  <c r="K38" i="10" s="1"/>
  <c r="K50" i="10" s="1"/>
  <c r="K62" i="10" s="1"/>
  <c r="E26" i="10"/>
  <c r="E38" i="10" s="1"/>
  <c r="E50" i="10" s="1"/>
  <c r="E62" i="10" s="1"/>
  <c r="S26" i="10"/>
  <c r="S38" i="10" s="1"/>
  <c r="S50" i="10" s="1"/>
  <c r="S62" i="10" s="1"/>
  <c r="M26" i="10"/>
  <c r="M38" i="10" s="1"/>
  <c r="M50" i="10" s="1"/>
  <c r="M62" i="10" s="1"/>
  <c r="H26" i="10"/>
  <c r="H38" i="10" s="1"/>
  <c r="H50" i="10" s="1"/>
  <c r="H62" i="10" s="1"/>
  <c r="B36" i="10"/>
  <c r="S22" i="10"/>
  <c r="S34" i="10" s="1"/>
  <c r="S46" i="10" s="1"/>
  <c r="S58" i="10" s="1"/>
  <c r="M22" i="10"/>
  <c r="M34" i="10" s="1"/>
  <c r="M46" i="10" s="1"/>
  <c r="M58" i="10" s="1"/>
  <c r="H22" i="10"/>
  <c r="H34" i="10" s="1"/>
  <c r="H46" i="10" s="1"/>
  <c r="H58" i="10" s="1"/>
  <c r="Q22" i="10"/>
  <c r="Q34" i="10" s="1"/>
  <c r="Q46" i="10" s="1"/>
  <c r="Q58" i="10" s="1"/>
  <c r="L22" i="10"/>
  <c r="L34" i="10" s="1"/>
  <c r="L46" i="10" s="1"/>
  <c r="L58" i="10" s="1"/>
  <c r="G22" i="10"/>
  <c r="G34" i="10" s="1"/>
  <c r="G46" i="10" s="1"/>
  <c r="G58" i="10" s="1"/>
  <c r="B34" i="10"/>
  <c r="C22" i="10"/>
  <c r="C34" i="10" s="1"/>
  <c r="C46" i="10" s="1"/>
  <c r="C58" i="10" s="1"/>
  <c r="P22" i="10"/>
  <c r="P34" i="10" s="1"/>
  <c r="P46" i="10" s="1"/>
  <c r="P58" i="10" s="1"/>
  <c r="K22" i="10"/>
  <c r="K34" i="10" s="1"/>
  <c r="K46" i="10" s="1"/>
  <c r="K58" i="10" s="1"/>
  <c r="E22" i="10"/>
  <c r="E34" i="10" s="1"/>
  <c r="E46" i="10" s="1"/>
  <c r="E58" i="10" s="1"/>
  <c r="R20" i="10"/>
  <c r="R32" i="10" s="1"/>
  <c r="R44" i="10" s="1"/>
  <c r="R56" i="10" s="1"/>
  <c r="N20" i="10"/>
  <c r="N32" i="10" s="1"/>
  <c r="N44" i="10" s="1"/>
  <c r="N56" i="10" s="1"/>
  <c r="J20" i="10"/>
  <c r="J32" i="10" s="1"/>
  <c r="J44" i="10" s="1"/>
  <c r="J56" i="10" s="1"/>
  <c r="F20" i="10"/>
  <c r="F32" i="10" s="1"/>
  <c r="F44" i="10" s="1"/>
  <c r="F56" i="10" s="1"/>
  <c r="B32" i="10"/>
  <c r="C20" i="10"/>
  <c r="C32" i="10" s="1"/>
  <c r="C44" i="10" s="1"/>
  <c r="C56" i="10" s="1"/>
  <c r="Q20" i="10"/>
  <c r="Q32" i="10" s="1"/>
  <c r="Q44" i="10" s="1"/>
  <c r="Q56" i="10" s="1"/>
  <c r="M20" i="10"/>
  <c r="M32" i="10" s="1"/>
  <c r="M44" i="10" s="1"/>
  <c r="M56" i="10" s="1"/>
  <c r="I20" i="10"/>
  <c r="I32" i="10" s="1"/>
  <c r="I44" i="10" s="1"/>
  <c r="I56" i="10" s="1"/>
  <c r="E20" i="10"/>
  <c r="E32" i="10" s="1"/>
  <c r="E44" i="10" s="1"/>
  <c r="E56" i="10" s="1"/>
  <c r="S20" i="10"/>
  <c r="S32" i="10" s="1"/>
  <c r="S44" i="10" s="1"/>
  <c r="S56" i="10" s="1"/>
  <c r="O20" i="10"/>
  <c r="O32" i="10" s="1"/>
  <c r="O44" i="10" s="1"/>
  <c r="O56" i="10" s="1"/>
  <c r="K20" i="10"/>
  <c r="K32" i="10" s="1"/>
  <c r="K44" i="10" s="1"/>
  <c r="K56" i="10" s="1"/>
  <c r="B38" i="10"/>
  <c r="E47" i="1"/>
  <c r="E48" i="1"/>
  <c r="U61" i="10"/>
  <c r="E46" i="1"/>
  <c r="R22" i="10"/>
  <c r="R34" i="10" s="1"/>
  <c r="R46" i="10" s="1"/>
  <c r="R58" i="10" s="1"/>
  <c r="N22" i="10"/>
  <c r="N34" i="10" s="1"/>
  <c r="N46" i="10" s="1"/>
  <c r="N58" i="10" s="1"/>
  <c r="J22" i="10"/>
  <c r="J34" i="10" s="1"/>
  <c r="J46" i="10" s="1"/>
  <c r="J58" i="10" s="1"/>
  <c r="R24" i="10"/>
  <c r="R36" i="10" s="1"/>
  <c r="R48" i="10" s="1"/>
  <c r="R60" i="10" s="1"/>
  <c r="N24" i="10"/>
  <c r="N36" i="10" s="1"/>
  <c r="N48" i="10" s="1"/>
  <c r="N60" i="10" s="1"/>
  <c r="J24" i="10"/>
  <c r="J36" i="10" s="1"/>
  <c r="J48" i="10" s="1"/>
  <c r="J60" i="10" s="1"/>
  <c r="R26" i="10"/>
  <c r="R38" i="10" s="1"/>
  <c r="R50" i="10" s="1"/>
  <c r="R62" i="10" s="1"/>
  <c r="N26" i="10"/>
  <c r="N38" i="10" s="1"/>
  <c r="N50" i="10" s="1"/>
  <c r="N62" i="10" s="1"/>
  <c r="J26" i="10"/>
  <c r="J38" i="10" s="1"/>
  <c r="J50" i="10" s="1"/>
  <c r="J62" i="10" s="1"/>
  <c r="U55" i="14"/>
  <c r="U57" i="14"/>
  <c r="U59" i="14"/>
  <c r="U61" i="14"/>
  <c r="U62" i="14"/>
  <c r="U56" i="12"/>
  <c r="U58" i="12"/>
  <c r="U60" i="12"/>
  <c r="U62" i="12"/>
  <c r="Z11" i="15" l="1"/>
  <c r="Z21" i="15" s="1"/>
  <c r="W49" i="25"/>
  <c r="Z4" i="12"/>
  <c r="Z14" i="12" s="1"/>
  <c r="W42" i="20"/>
  <c r="Z6" i="12"/>
  <c r="Z16" i="12" s="1"/>
  <c r="W44" i="20"/>
  <c r="Z11" i="12"/>
  <c r="Z21" i="12" s="1"/>
  <c r="W49" i="20"/>
  <c r="Z10" i="12"/>
  <c r="Z20" i="12" s="1"/>
  <c r="W48" i="20"/>
  <c r="Z7" i="12"/>
  <c r="Z17" i="12" s="1"/>
  <c r="W45" i="20"/>
  <c r="Z9" i="12"/>
  <c r="Z19" i="12" s="1"/>
  <c r="W47" i="20"/>
  <c r="Z8" i="12"/>
  <c r="Z18" i="12" s="1"/>
  <c r="W46" i="20"/>
  <c r="Z5" i="12"/>
  <c r="Z15" i="12" s="1"/>
  <c r="W43" i="20"/>
  <c r="O44" i="11" a="1"/>
  <c r="O44" i="11" s="1"/>
  <c r="Q48" i="19"/>
  <c r="S47" i="11" a="1"/>
  <c r="S47" i="11" s="1"/>
  <c r="U48" i="19"/>
  <c r="N58" i="11" a="1"/>
  <c r="N58" i="11" s="1"/>
  <c r="P101" i="19" s="1"/>
  <c r="J31" i="10"/>
  <c r="J43" i="10" s="1"/>
  <c r="J55" i="10" s="1"/>
  <c r="J86" i="10" s="1"/>
  <c r="J84" i="10"/>
  <c r="K31" i="10"/>
  <c r="K43" i="10" s="1"/>
  <c r="K55" i="10" s="1"/>
  <c r="K86" i="10" s="1"/>
  <c r="K84" i="10"/>
  <c r="N31" i="10"/>
  <c r="N43" i="10" s="1"/>
  <c r="N55" i="10" s="1"/>
  <c r="O86" i="10" s="1"/>
  <c r="O84" i="10"/>
  <c r="O31" i="10"/>
  <c r="O43" i="10" s="1"/>
  <c r="O55" i="10" s="1"/>
  <c r="P86" i="10" s="1"/>
  <c r="P84" i="10"/>
  <c r="R31" i="10"/>
  <c r="R43" i="10" s="1"/>
  <c r="R55" i="10" s="1"/>
  <c r="S86" i="10" s="1"/>
  <c r="S84" i="10"/>
  <c r="S31" i="10"/>
  <c r="S43" i="10" s="1"/>
  <c r="S55" i="10" s="1"/>
  <c r="T86" i="10" s="1"/>
  <c r="T84" i="10"/>
  <c r="J42" i="1"/>
  <c r="F31" i="10"/>
  <c r="F43" i="10" s="1"/>
  <c r="F55" i="10" s="1"/>
  <c r="F86" i="10" s="1"/>
  <c r="F84" i="10"/>
  <c r="G31" i="10"/>
  <c r="G43" i="10" s="1"/>
  <c r="G55" i="10" s="1"/>
  <c r="G86" i="10" s="1"/>
  <c r="G84" i="10"/>
  <c r="R42" i="1"/>
  <c r="N42" i="1"/>
  <c r="U59" i="10"/>
  <c r="W46" i="1" s="1"/>
  <c r="C31" i="10"/>
  <c r="C43" i="10" s="1"/>
  <c r="C55" i="10" s="1"/>
  <c r="C84" i="10"/>
  <c r="Z10" i="15"/>
  <c r="Z20" i="15" s="1"/>
  <c r="W48" i="25"/>
  <c r="Z9" i="15"/>
  <c r="Z19" i="15" s="1"/>
  <c r="W47" i="25"/>
  <c r="Z8" i="15"/>
  <c r="Z18" i="15" s="1"/>
  <c r="W46" i="25"/>
  <c r="Z7" i="15"/>
  <c r="Z17" i="15" s="1"/>
  <c r="W45" i="25"/>
  <c r="Z6" i="15"/>
  <c r="Z16" i="15" s="1"/>
  <c r="W44" i="25"/>
  <c r="Z5" i="15"/>
  <c r="Z15" i="15" s="1"/>
  <c r="W43" i="25"/>
  <c r="Z4" i="15"/>
  <c r="Z14" i="15" s="1"/>
  <c r="W42" i="25"/>
  <c r="Z11" i="24"/>
  <c r="B65" i="23"/>
  <c r="Z4" i="24"/>
  <c r="B58" i="23"/>
  <c r="Z5" i="24"/>
  <c r="Z15" i="24" s="1"/>
  <c r="B59" i="23"/>
  <c r="Z9" i="24"/>
  <c r="Z19" i="24" s="1"/>
  <c r="B63" i="23"/>
  <c r="Z10" i="24"/>
  <c r="Z20" i="24" s="1"/>
  <c r="B64" i="23"/>
  <c r="Z8" i="24"/>
  <c r="Z18" i="24" s="1"/>
  <c r="B62" i="23"/>
  <c r="Z7" i="24"/>
  <c r="B61" i="23"/>
  <c r="Z6" i="24"/>
  <c r="Z16" i="24" s="1"/>
  <c r="B60" i="23"/>
  <c r="Z17" i="24"/>
  <c r="Z21" i="24"/>
  <c r="K43" i="19"/>
  <c r="J43" i="19"/>
  <c r="E43" i="19"/>
  <c r="Z9" i="14"/>
  <c r="Z19" i="14" s="1"/>
  <c r="W47" i="22"/>
  <c r="Z10" i="14"/>
  <c r="Z20" i="14" s="1"/>
  <c r="W48" i="22"/>
  <c r="Z8" i="14"/>
  <c r="Z18" i="14" s="1"/>
  <c r="W46" i="22"/>
  <c r="Z6" i="14"/>
  <c r="Z16" i="14" s="1"/>
  <c r="W44" i="22"/>
  <c r="Z5" i="14"/>
  <c r="Z15" i="14" s="1"/>
  <c r="W43" i="22"/>
  <c r="Z11" i="14"/>
  <c r="Z21" i="14" s="1"/>
  <c r="W49" i="22"/>
  <c r="Z7" i="14"/>
  <c r="Z17" i="14" s="1"/>
  <c r="W45" i="22"/>
  <c r="Z4" i="14"/>
  <c r="W42" i="22"/>
  <c r="M42" i="1"/>
  <c r="I42" i="1"/>
  <c r="L42" i="1"/>
  <c r="P42" i="1"/>
  <c r="H43" i="1"/>
  <c r="L43" i="1"/>
  <c r="O43" i="1"/>
  <c r="S43" i="1"/>
  <c r="G43" i="1"/>
  <c r="P43" i="1"/>
  <c r="Q43" i="1"/>
  <c r="U43" i="1"/>
  <c r="M43" i="1"/>
  <c r="K43" i="1"/>
  <c r="T43" i="1"/>
  <c r="L44" i="1"/>
  <c r="P44" i="1"/>
  <c r="G44" i="1"/>
  <c r="K44" i="1"/>
  <c r="O44" i="1"/>
  <c r="U44" i="1"/>
  <c r="T44" i="1"/>
  <c r="I44" i="1"/>
  <c r="U57" i="10"/>
  <c r="W44" i="1" s="1"/>
  <c r="S44" i="1"/>
  <c r="H44" i="1"/>
  <c r="Q44" i="1"/>
  <c r="J45" i="1"/>
  <c r="I45" i="1"/>
  <c r="L45" i="1"/>
  <c r="P45" i="1"/>
  <c r="O45" i="1"/>
  <c r="R45" i="1"/>
  <c r="N45" i="1"/>
  <c r="U45" i="1"/>
  <c r="G45" i="1"/>
  <c r="M45" i="1"/>
  <c r="T45" i="1"/>
  <c r="S45" i="1"/>
  <c r="R46" i="1"/>
  <c r="O46" i="1"/>
  <c r="F46" i="1"/>
  <c r="V46" i="1"/>
  <c r="S46" i="1"/>
  <c r="J46" i="1"/>
  <c r="G46" i="1"/>
  <c r="N46" i="1"/>
  <c r="K46" i="1"/>
  <c r="T47" i="1"/>
  <c r="P47" i="1"/>
  <c r="K47" i="1"/>
  <c r="Q47" i="1"/>
  <c r="L47" i="1"/>
  <c r="F47" i="1"/>
  <c r="T49" i="1"/>
  <c r="O49" i="1"/>
  <c r="R49" i="1"/>
  <c r="S49" i="1"/>
  <c r="F49" i="1"/>
  <c r="L49" i="1"/>
  <c r="U49" i="1"/>
  <c r="Q49" i="1"/>
  <c r="P49" i="1"/>
  <c r="G49" i="1"/>
  <c r="I49" i="1"/>
  <c r="J49" i="1"/>
  <c r="M49" i="1"/>
  <c r="N49" i="1"/>
  <c r="E49" i="1"/>
  <c r="E45" i="1"/>
  <c r="E43" i="1"/>
  <c r="E51" i="11" a="1"/>
  <c r="E51" i="11" s="1"/>
  <c r="U32" i="11"/>
  <c r="F43" i="19"/>
  <c r="N63" i="11" a="1"/>
  <c r="N63" i="11" s="1"/>
  <c r="N59" i="11" a="1"/>
  <c r="N59" i="11" s="1"/>
  <c r="N62" i="11" a="1"/>
  <c r="N62" i="11" s="1"/>
  <c r="U35" i="11"/>
  <c r="W46" i="19" s="1"/>
  <c r="U37" i="11"/>
  <c r="W48" i="19" s="1"/>
  <c r="U31" i="11"/>
  <c r="W42" i="19" s="1"/>
  <c r="F42" i="19"/>
  <c r="U34" i="11"/>
  <c r="W45" i="19" s="1"/>
  <c r="F45" i="19"/>
  <c r="U38" i="11"/>
  <c r="W49" i="19" s="1"/>
  <c r="F49" i="19"/>
  <c r="R58" i="11" a="1"/>
  <c r="R58" i="11" s="1"/>
  <c r="N61" i="11" a="1"/>
  <c r="N61" i="11" s="1"/>
  <c r="N57" i="11" a="1"/>
  <c r="N57" i="11" s="1"/>
  <c r="N56" i="11" a="1"/>
  <c r="N56" i="11" s="1"/>
  <c r="R61" i="11" a="1"/>
  <c r="R61" i="11" s="1"/>
  <c r="R63" i="11" a="1"/>
  <c r="R63" i="11" s="1"/>
  <c r="R57" i="11" a="1"/>
  <c r="R57" i="11" s="1"/>
  <c r="R62" i="11" a="1"/>
  <c r="R62" i="11" s="1"/>
  <c r="F58" i="11" a="1"/>
  <c r="F58" i="11" s="1"/>
  <c r="N60" i="11" a="1"/>
  <c r="N60" i="11" s="1"/>
  <c r="F61" i="11" a="1"/>
  <c r="F61" i="11" s="1"/>
  <c r="F57" i="11" a="1"/>
  <c r="F57" i="11" s="1"/>
  <c r="R56" i="11" a="1"/>
  <c r="R56" i="11" s="1"/>
  <c r="R59" i="11" a="1"/>
  <c r="R59" i="11" s="1"/>
  <c r="F63" i="11" a="1"/>
  <c r="F63" i="11" s="1"/>
  <c r="R60" i="11" a="1"/>
  <c r="R60" i="11" s="1"/>
  <c r="F59" i="11" a="1"/>
  <c r="F59" i="11" s="1"/>
  <c r="F56" i="11" a="1"/>
  <c r="F56" i="11" s="1"/>
  <c r="F62" i="11" a="1"/>
  <c r="F62" i="11" s="1"/>
  <c r="F60" i="11" a="1"/>
  <c r="F60" i="11" s="1"/>
  <c r="I44" i="11" a="1"/>
  <c r="I44" i="11" s="1"/>
  <c r="I46" i="11" a="1"/>
  <c r="I46" i="11" s="1"/>
  <c r="I49" i="11" a="1"/>
  <c r="I49" i="11" s="1"/>
  <c r="I48" i="11" a="1"/>
  <c r="I48" i="11" s="1"/>
  <c r="I47" i="11" a="1"/>
  <c r="I47" i="11" s="1"/>
  <c r="I51" i="11" a="1"/>
  <c r="I51" i="11" s="1"/>
  <c r="I45" i="11" a="1"/>
  <c r="I45" i="11" s="1"/>
  <c r="I50" i="11" a="1"/>
  <c r="I50" i="11" s="1"/>
  <c r="D44" i="11" a="1"/>
  <c r="D44" i="11" s="1"/>
  <c r="D49" i="11" a="1"/>
  <c r="D49" i="11" s="1"/>
  <c r="D48" i="11" a="1"/>
  <c r="D48" i="11" s="1"/>
  <c r="D45" i="11" a="1"/>
  <c r="D45" i="11" s="1"/>
  <c r="D46" i="11" a="1"/>
  <c r="D46" i="11" s="1"/>
  <c r="D47" i="11" a="1"/>
  <c r="D47" i="11" s="1"/>
  <c r="D51" i="11" a="1"/>
  <c r="D51" i="11" s="1"/>
  <c r="D50" i="11" a="1"/>
  <c r="D50" i="11" s="1"/>
  <c r="T44" i="11" a="1"/>
  <c r="T44" i="11" s="1"/>
  <c r="T45" i="11" a="1"/>
  <c r="T45" i="11" s="1"/>
  <c r="T49" i="11" a="1"/>
  <c r="T49" i="11" s="1"/>
  <c r="T48" i="11" a="1"/>
  <c r="T48" i="11" s="1"/>
  <c r="T47" i="11" a="1"/>
  <c r="T47" i="11" s="1"/>
  <c r="T51" i="11" a="1"/>
  <c r="T51" i="11" s="1"/>
  <c r="T50" i="11" a="1"/>
  <c r="T50" i="11" s="1"/>
  <c r="T46" i="11" a="1"/>
  <c r="T46" i="11" s="1"/>
  <c r="G50" i="11" a="1"/>
  <c r="G50" i="11" s="1"/>
  <c r="G45" i="11" a="1"/>
  <c r="G45" i="11" s="1"/>
  <c r="G46" i="11" a="1"/>
  <c r="G46" i="11" s="1"/>
  <c r="G49" i="11" a="1"/>
  <c r="G49" i="11" s="1"/>
  <c r="G48" i="11" a="1"/>
  <c r="G48" i="11" s="1"/>
  <c r="G51" i="11" a="1"/>
  <c r="G51" i="11" s="1"/>
  <c r="G47" i="11" a="1"/>
  <c r="G47" i="11" s="1"/>
  <c r="S46" i="11" a="1"/>
  <c r="S46" i="11" s="1"/>
  <c r="S45" i="11" a="1"/>
  <c r="S45" i="11" s="1"/>
  <c r="O48" i="11" a="1"/>
  <c r="O48" i="11" s="1"/>
  <c r="O46" i="11" a="1"/>
  <c r="O46" i="11" s="1"/>
  <c r="M44" i="11" a="1"/>
  <c r="M44" i="11" s="1"/>
  <c r="M45" i="11" a="1"/>
  <c r="M45" i="11" s="1"/>
  <c r="M47" i="11" a="1"/>
  <c r="M47" i="11" s="1"/>
  <c r="M51" i="11" a="1"/>
  <c r="M51" i="11" s="1"/>
  <c r="M46" i="11" a="1"/>
  <c r="M46" i="11" s="1"/>
  <c r="M50" i="11" a="1"/>
  <c r="M50" i="11" s="1"/>
  <c r="M49" i="11" a="1"/>
  <c r="M49" i="11" s="1"/>
  <c r="M48" i="11" a="1"/>
  <c r="M48" i="11" s="1"/>
  <c r="H44" i="11" a="1"/>
  <c r="H44" i="11" s="1"/>
  <c r="H45" i="11" a="1"/>
  <c r="H45" i="11" s="1"/>
  <c r="H47" i="11" a="1"/>
  <c r="H47" i="11" s="1"/>
  <c r="H51" i="11" a="1"/>
  <c r="H51" i="11" s="1"/>
  <c r="H50" i="11" a="1"/>
  <c r="H50" i="11" s="1"/>
  <c r="H49" i="11" a="1"/>
  <c r="H49" i="11" s="1"/>
  <c r="H46" i="11" a="1"/>
  <c r="H46" i="11" s="1"/>
  <c r="H48" i="11" a="1"/>
  <c r="H48" i="11" s="1"/>
  <c r="K45" i="11" a="1"/>
  <c r="K45" i="11" s="1"/>
  <c r="K48" i="11" a="1"/>
  <c r="K48" i="11" s="1"/>
  <c r="K47" i="11" a="1"/>
  <c r="K47" i="11" s="1"/>
  <c r="K51" i="11" a="1"/>
  <c r="K51" i="11" s="1"/>
  <c r="K46" i="11" a="1"/>
  <c r="K46" i="11" s="1"/>
  <c r="K50" i="11" a="1"/>
  <c r="K50" i="11" s="1"/>
  <c r="K49" i="11" a="1"/>
  <c r="K49" i="11" s="1"/>
  <c r="E44" i="11" a="1"/>
  <c r="E44" i="11" s="1"/>
  <c r="J58" i="11" a="1"/>
  <c r="J58" i="11" s="1"/>
  <c r="J62" i="11" a="1"/>
  <c r="J62" i="11" s="1"/>
  <c r="J59" i="11" a="1"/>
  <c r="J59" i="11" s="1"/>
  <c r="J56" i="11" a="1"/>
  <c r="J56" i="11" s="1"/>
  <c r="J57" i="11" a="1"/>
  <c r="J57" i="11" s="1"/>
  <c r="J63" i="11" a="1"/>
  <c r="J63" i="11" s="1"/>
  <c r="J61" i="11" a="1"/>
  <c r="J61" i="11" s="1"/>
  <c r="J60" i="11" a="1"/>
  <c r="J60" i="11" s="1"/>
  <c r="S51" i="11" a="1"/>
  <c r="S51" i="11" s="1"/>
  <c r="S44" i="11" a="1"/>
  <c r="S44" i="11" s="1"/>
  <c r="E48" i="11" a="1"/>
  <c r="E48" i="11" s="1"/>
  <c r="O45" i="11" a="1"/>
  <c r="O45" i="11" s="1"/>
  <c r="E47" i="11" a="1"/>
  <c r="E47" i="11" s="1"/>
  <c r="Q44" i="11" a="1"/>
  <c r="Q44" i="11" s="1"/>
  <c r="Q45" i="11" a="1"/>
  <c r="Q45" i="11" s="1"/>
  <c r="Q49" i="11" a="1"/>
  <c r="Q49" i="11" s="1"/>
  <c r="Q48" i="11" a="1"/>
  <c r="Q48" i="11" s="1"/>
  <c r="Q47" i="11" a="1"/>
  <c r="Q47" i="11" s="1"/>
  <c r="Q51" i="11" a="1"/>
  <c r="Q51" i="11" s="1"/>
  <c r="Q46" i="11" a="1"/>
  <c r="Q46" i="11" s="1"/>
  <c r="Q50" i="11" a="1"/>
  <c r="Q50" i="11" s="1"/>
  <c r="L44" i="11" a="1"/>
  <c r="L44" i="11" s="1"/>
  <c r="L49" i="11" a="1"/>
  <c r="L49" i="11" s="1"/>
  <c r="L48" i="11" a="1"/>
  <c r="L48" i="11" s="1"/>
  <c r="L47" i="11" a="1"/>
  <c r="L47" i="11" s="1"/>
  <c r="L51" i="11" a="1"/>
  <c r="L51" i="11" s="1"/>
  <c r="L50" i="11" a="1"/>
  <c r="L50" i="11" s="1"/>
  <c r="L46" i="11" a="1"/>
  <c r="L46" i="11" s="1"/>
  <c r="L45" i="11" a="1"/>
  <c r="L45" i="11" s="1"/>
  <c r="K44" i="11" a="1"/>
  <c r="K44" i="11" s="1"/>
  <c r="E45" i="11" a="1"/>
  <c r="E45" i="11" s="1"/>
  <c r="O51" i="11" a="1"/>
  <c r="O51" i="11" s="1"/>
  <c r="O49" i="11" a="1"/>
  <c r="O49" i="11" s="1"/>
  <c r="E49" i="11" a="1"/>
  <c r="E49" i="11" s="1"/>
  <c r="O47" i="11" a="1"/>
  <c r="O47" i="11" s="1"/>
  <c r="C44" i="11" a="1"/>
  <c r="C44" i="11" s="1"/>
  <c r="C45" i="11" a="1"/>
  <c r="C45" i="11" s="1"/>
  <c r="C48" i="11" a="1"/>
  <c r="C48" i="11" s="1"/>
  <c r="C46" i="11" a="1"/>
  <c r="C46" i="11" s="1"/>
  <c r="C47" i="11" a="1"/>
  <c r="C47" i="11" s="1"/>
  <c r="C51" i="11" a="1"/>
  <c r="C51" i="11" s="1"/>
  <c r="C50" i="11" a="1"/>
  <c r="C50" i="11" s="1"/>
  <c r="C49" i="11" a="1"/>
  <c r="C49" i="11" s="1"/>
  <c r="P44" i="11" a="1"/>
  <c r="P44" i="11" s="1"/>
  <c r="P45" i="11" a="1"/>
  <c r="P45" i="11" s="1"/>
  <c r="P47" i="11" a="1"/>
  <c r="P47" i="11" s="1"/>
  <c r="P51" i="11" a="1"/>
  <c r="P51" i="11" s="1"/>
  <c r="P46" i="11" a="1"/>
  <c r="P46" i="11" s="1"/>
  <c r="P50" i="11" a="1"/>
  <c r="P50" i="11" s="1"/>
  <c r="P49" i="11" a="1"/>
  <c r="P49" i="11" s="1"/>
  <c r="P48" i="11" a="1"/>
  <c r="P48" i="11" s="1"/>
  <c r="S49" i="11" a="1"/>
  <c r="S49" i="11" s="1"/>
  <c r="S50" i="11" a="1"/>
  <c r="S50" i="11" s="1"/>
  <c r="S48" i="11" a="1"/>
  <c r="S48" i="11" s="1"/>
  <c r="E46" i="11" a="1"/>
  <c r="E46" i="11" s="1"/>
  <c r="G44" i="11" a="1"/>
  <c r="G44" i="11" s="1"/>
  <c r="O50" i="11" a="1"/>
  <c r="O50" i="11" s="1"/>
  <c r="E50" i="11" a="1"/>
  <c r="E50" i="11" s="1"/>
  <c r="U56" i="10"/>
  <c r="W48" i="1"/>
  <c r="Z10" i="10"/>
  <c r="Z20" i="10" s="1"/>
  <c r="U62" i="10"/>
  <c r="U58" i="10"/>
  <c r="U60" i="10"/>
  <c r="AB18" i="15" l="1"/>
  <c r="AB16" i="15"/>
  <c r="AB18" i="12"/>
  <c r="AA7" i="12"/>
  <c r="AD7" i="12" s="1"/>
  <c r="AB17" i="12"/>
  <c r="AB19" i="12"/>
  <c r="AB21" i="12"/>
  <c r="AA5" i="12"/>
  <c r="AD5" i="12" s="1"/>
  <c r="AB15" i="12"/>
  <c r="AB20" i="12"/>
  <c r="AB16" i="12"/>
  <c r="AA10" i="12"/>
  <c r="AD10" i="12" s="1"/>
  <c r="AA9" i="12"/>
  <c r="AD9" i="12" s="1"/>
  <c r="AB14" i="12"/>
  <c r="AA4" i="12"/>
  <c r="AD4" i="12" s="1"/>
  <c r="AA8" i="12"/>
  <c r="AD8" i="12" s="1"/>
  <c r="AA6" i="12"/>
  <c r="AD6" i="12" s="1"/>
  <c r="AA11" i="12"/>
  <c r="AD11" i="12" s="1"/>
  <c r="U42" i="1"/>
  <c r="Z8" i="10"/>
  <c r="Z18" i="10" s="1"/>
  <c r="H42" i="1"/>
  <c r="U55" i="10"/>
  <c r="Z4" i="10" s="1"/>
  <c r="Z14" i="10" s="1"/>
  <c r="Q42" i="1"/>
  <c r="V86" i="10"/>
  <c r="T42" i="1"/>
  <c r="Z6" i="10"/>
  <c r="Z16" i="10" s="1"/>
  <c r="C86" i="10"/>
  <c r="L86" i="10" s="1"/>
  <c r="E42" i="1"/>
  <c r="I59" i="11" a="1"/>
  <c r="I59" i="11" s="1"/>
  <c r="K102" i="19" s="1"/>
  <c r="AA8" i="15"/>
  <c r="AD8" i="15" s="1"/>
  <c r="AA9" i="15"/>
  <c r="AD9" i="15" s="1"/>
  <c r="AA7" i="15"/>
  <c r="AD7" i="15" s="1"/>
  <c r="AB20" i="15"/>
  <c r="AA5" i="15"/>
  <c r="AD5" i="15" s="1"/>
  <c r="AB14" i="15"/>
  <c r="AA6" i="15"/>
  <c r="AD6" i="15" s="1"/>
  <c r="AB19" i="15"/>
  <c r="AB17" i="15"/>
  <c r="AB21" i="15"/>
  <c r="AB15" i="15"/>
  <c r="AF20" i="15" s="1"/>
  <c r="AA10" i="15"/>
  <c r="AD10" i="15" s="1"/>
  <c r="AA4" i="15"/>
  <c r="AD4" i="15" s="1"/>
  <c r="AA11" i="15"/>
  <c r="AD11" i="15" s="1"/>
  <c r="AA11" i="24"/>
  <c r="AD11" i="24" s="1"/>
  <c r="AA7" i="24"/>
  <c r="AD7" i="24" s="1"/>
  <c r="Z14" i="24"/>
  <c r="AB21" i="24" s="1"/>
  <c r="AA6" i="24"/>
  <c r="AD6" i="24" s="1"/>
  <c r="AA4" i="24"/>
  <c r="AD4" i="24" s="1"/>
  <c r="AA9" i="24"/>
  <c r="AD9" i="24" s="1"/>
  <c r="AA5" i="24"/>
  <c r="AD5" i="24" s="1"/>
  <c r="AA10" i="24"/>
  <c r="AD10" i="24" s="1"/>
  <c r="AA8" i="24"/>
  <c r="AD8" i="24" s="1"/>
  <c r="L103" i="19"/>
  <c r="H105" i="19"/>
  <c r="T100" i="19"/>
  <c r="L106" i="19"/>
  <c r="L105" i="19"/>
  <c r="H102" i="19"/>
  <c r="T99" i="19"/>
  <c r="H101" i="19"/>
  <c r="T104" i="19"/>
  <c r="T101" i="19"/>
  <c r="P105" i="19"/>
  <c r="L99" i="19"/>
  <c r="H106" i="19"/>
  <c r="H104" i="19"/>
  <c r="P100" i="19"/>
  <c r="P106" i="19"/>
  <c r="L100" i="19"/>
  <c r="L101" i="19"/>
  <c r="H103" i="19"/>
  <c r="T103" i="19"/>
  <c r="H100" i="19"/>
  <c r="T105" i="19"/>
  <c r="P99" i="19"/>
  <c r="P102" i="19"/>
  <c r="W43" i="19"/>
  <c r="L104" i="19"/>
  <c r="L102" i="19"/>
  <c r="H99" i="19"/>
  <c r="T102" i="19"/>
  <c r="P103" i="19"/>
  <c r="T106" i="19"/>
  <c r="P104" i="19"/>
  <c r="AA7" i="14"/>
  <c r="AD7" i="14" s="1"/>
  <c r="AA5" i="14"/>
  <c r="AD5" i="14" s="1"/>
  <c r="AA10" i="14"/>
  <c r="AD10" i="14" s="1"/>
  <c r="AA6" i="14"/>
  <c r="AD6" i="14" s="1"/>
  <c r="Z14" i="14"/>
  <c r="AA11" i="14"/>
  <c r="AD11" i="14" s="1"/>
  <c r="AA8" i="14"/>
  <c r="AD8" i="14" s="1"/>
  <c r="AA4" i="14"/>
  <c r="AD4" i="14" s="1"/>
  <c r="AA9" i="14"/>
  <c r="AD9" i="14" s="1"/>
  <c r="W43" i="1"/>
  <c r="Z5" i="10"/>
  <c r="Z15" i="10" s="1"/>
  <c r="C56" i="11" a="1"/>
  <c r="C56" i="11" s="1"/>
  <c r="D59" i="11" a="1"/>
  <c r="D59" i="11" s="1"/>
  <c r="I60" i="11" a="1"/>
  <c r="I60" i="11" s="1"/>
  <c r="AE21" i="15"/>
  <c r="I62" i="11" a="1"/>
  <c r="I62" i="11" s="1"/>
  <c r="S62" i="11" a="1"/>
  <c r="S62" i="11" s="1"/>
  <c r="H57" i="11" a="1"/>
  <c r="H57" i="11" s="1"/>
  <c r="D63" i="11" a="1"/>
  <c r="D63" i="11" s="1"/>
  <c r="M63" i="11" a="1"/>
  <c r="M63" i="11" s="1"/>
  <c r="T62" i="11" a="1"/>
  <c r="T62" i="11" s="1"/>
  <c r="I63" i="11" a="1"/>
  <c r="I63" i="11" s="1"/>
  <c r="O62" i="11" a="1"/>
  <c r="O62" i="11" s="1"/>
  <c r="N67" i="11" a="1"/>
  <c r="N67" i="11" s="1"/>
  <c r="N65" i="11" a="1"/>
  <c r="N65" i="11" s="1"/>
  <c r="N72" i="11" a="1"/>
  <c r="N72" i="11" s="1"/>
  <c r="N70" i="11" a="1"/>
  <c r="N70" i="11" s="1"/>
  <c r="N66" i="11" a="1"/>
  <c r="N66" i="11" s="1"/>
  <c r="N69" i="11" a="1"/>
  <c r="N69" i="11" s="1"/>
  <c r="N68" i="11" a="1"/>
  <c r="N68" i="11" s="1"/>
  <c r="O57" i="11" a="1"/>
  <c r="O57" i="11" s="1"/>
  <c r="N71" i="11" a="1"/>
  <c r="N71" i="11" s="1"/>
  <c r="L59" i="11" a="1"/>
  <c r="L59" i="11" s="1"/>
  <c r="H62" i="11" a="1"/>
  <c r="H62" i="11" s="1"/>
  <c r="H59" i="11" a="1"/>
  <c r="H59" i="11" s="1"/>
  <c r="R66" i="11" a="1"/>
  <c r="R66" i="11" s="1"/>
  <c r="AB15" i="14"/>
  <c r="AB19" i="14"/>
  <c r="AB14" i="14"/>
  <c r="AB18" i="14"/>
  <c r="AB20" i="14"/>
  <c r="AB17" i="14"/>
  <c r="AB21" i="14"/>
  <c r="AB16" i="14"/>
  <c r="T59" i="11" a="1"/>
  <c r="T59" i="11" s="1"/>
  <c r="R68" i="11" a="1"/>
  <c r="R68" i="11" s="1"/>
  <c r="R72" i="11" a="1"/>
  <c r="R72" i="11" s="1"/>
  <c r="R65" i="11" a="1"/>
  <c r="R65" i="11" s="1"/>
  <c r="P57" i="11" a="1"/>
  <c r="P57" i="11" s="1"/>
  <c r="R71" i="11" a="1"/>
  <c r="R71" i="11" s="1"/>
  <c r="L63" i="11" a="1"/>
  <c r="L63" i="11" s="1"/>
  <c r="P63" i="11" a="1"/>
  <c r="P63" i="11" s="1"/>
  <c r="C62" i="11" a="1"/>
  <c r="C62" i="11" s="1"/>
  <c r="R67" i="11" a="1"/>
  <c r="R67" i="11" s="1"/>
  <c r="R70" i="11" a="1"/>
  <c r="R70" i="11" s="1"/>
  <c r="Q57" i="11" a="1"/>
  <c r="Q57" i="11" s="1"/>
  <c r="H63" i="11" a="1"/>
  <c r="H63" i="11" s="1"/>
  <c r="R69" i="11" a="1"/>
  <c r="R69" i="11" s="1"/>
  <c r="L62" i="11" a="1"/>
  <c r="L62" i="11" s="1"/>
  <c r="T57" i="11" a="1"/>
  <c r="T57" i="11" s="1"/>
  <c r="J65" i="11" a="1"/>
  <c r="J65" i="11" s="1"/>
  <c r="J70" i="11" a="1"/>
  <c r="J70" i="11" s="1"/>
  <c r="J68" i="11" a="1"/>
  <c r="J68" i="11" s="1"/>
  <c r="J69" i="11" a="1"/>
  <c r="J69" i="11" s="1"/>
  <c r="J66" i="11" a="1"/>
  <c r="J66" i="11" s="1"/>
  <c r="J71" i="11" a="1"/>
  <c r="J71" i="11" s="1"/>
  <c r="J67" i="11" a="1"/>
  <c r="J67" i="11" s="1"/>
  <c r="J72" i="11" a="1"/>
  <c r="J72" i="11" s="1"/>
  <c r="E62" i="11" a="1"/>
  <c r="E62" i="11" s="1"/>
  <c r="M57" i="11" a="1"/>
  <c r="M57" i="11" s="1"/>
  <c r="F65" i="11" a="1"/>
  <c r="F65" i="11" s="1"/>
  <c r="F70" i="11" a="1"/>
  <c r="F70" i="11" s="1"/>
  <c r="F66" i="11" a="1"/>
  <c r="F66" i="11" s="1"/>
  <c r="F71" i="11" a="1"/>
  <c r="F71" i="11" s="1"/>
  <c r="F68" i="11" a="1"/>
  <c r="F68" i="11" s="1"/>
  <c r="F67" i="11" a="1"/>
  <c r="F67" i="11" s="1"/>
  <c r="F72" i="11" a="1"/>
  <c r="F72" i="11" s="1"/>
  <c r="F69" i="11" a="1"/>
  <c r="F69" i="11" s="1"/>
  <c r="C57" i="11" a="1"/>
  <c r="C57" i="11" s="1"/>
  <c r="T63" i="11" a="1"/>
  <c r="T63" i="11" s="1"/>
  <c r="K57" i="11" a="1"/>
  <c r="K57" i="11" s="1"/>
  <c r="K56" i="11" a="1"/>
  <c r="K56" i="11" s="1"/>
  <c r="K60" i="11" a="1"/>
  <c r="K60" i="11" s="1"/>
  <c r="K61" i="11" a="1"/>
  <c r="K61" i="11" s="1"/>
  <c r="K58" i="11" a="1"/>
  <c r="K58" i="11" s="1"/>
  <c r="K59" i="11" a="1"/>
  <c r="K59" i="11" s="1"/>
  <c r="K63" i="11" a="1"/>
  <c r="K63" i="11" s="1"/>
  <c r="D62" i="11" a="1"/>
  <c r="D62" i="11" s="1"/>
  <c r="D56" i="11" a="1"/>
  <c r="D56" i="11" s="1"/>
  <c r="D58" i="11" a="1"/>
  <c r="D58" i="11" s="1"/>
  <c r="D60" i="11" a="1"/>
  <c r="D60" i="11" s="1"/>
  <c r="D61" i="11" a="1"/>
  <c r="D61" i="11" s="1"/>
  <c r="I56" i="11" a="1"/>
  <c r="I56" i="11" s="1"/>
  <c r="I61" i="11" a="1"/>
  <c r="I61" i="11" s="1"/>
  <c r="I58" i="11" a="1"/>
  <c r="I58" i="11" s="1"/>
  <c r="O58" i="11" a="1"/>
  <c r="O58" i="11" s="1"/>
  <c r="G57" i="11" a="1"/>
  <c r="G57" i="11" s="1"/>
  <c r="G60" i="11" a="1"/>
  <c r="G60" i="11" s="1"/>
  <c r="G61" i="11" a="1"/>
  <c r="G61" i="11" s="1"/>
  <c r="G56" i="11" a="1"/>
  <c r="G56" i="11" s="1"/>
  <c r="G58" i="11" a="1"/>
  <c r="G58" i="11" s="1"/>
  <c r="G63" i="11" a="1"/>
  <c r="G63" i="11" s="1"/>
  <c r="G59" i="11" a="1"/>
  <c r="G59" i="11" s="1"/>
  <c r="L58" i="11" a="1"/>
  <c r="L58" i="11" s="1"/>
  <c r="L56" i="11" a="1"/>
  <c r="L56" i="11" s="1"/>
  <c r="L60" i="11" a="1"/>
  <c r="L60" i="11" s="1"/>
  <c r="L61" i="11" a="1"/>
  <c r="L61" i="11" s="1"/>
  <c r="Q60" i="11" a="1"/>
  <c r="Q60" i="11" s="1"/>
  <c r="Q56" i="11" a="1"/>
  <c r="Q56" i="11" s="1"/>
  <c r="Q58" i="11" a="1"/>
  <c r="Q58" i="11" s="1"/>
  <c r="Q62" i="11" a="1"/>
  <c r="Q62" i="11" s="1"/>
  <c r="Q61" i="11" a="1"/>
  <c r="Q61" i="11" s="1"/>
  <c r="S57" i="11" a="1"/>
  <c r="S57" i="11" s="1"/>
  <c r="S56" i="11" a="1"/>
  <c r="S56" i="11" s="1"/>
  <c r="S60" i="11" a="1"/>
  <c r="S60" i="11" s="1"/>
  <c r="S58" i="11" a="1"/>
  <c r="S58" i="11" s="1"/>
  <c r="S59" i="11" a="1"/>
  <c r="S59" i="11" s="1"/>
  <c r="S63" i="11" a="1"/>
  <c r="S63" i="11" s="1"/>
  <c r="S61" i="11" a="1"/>
  <c r="S61" i="11" s="1"/>
  <c r="K62" i="11" a="1"/>
  <c r="K62" i="11" s="1"/>
  <c r="D57" i="11" a="1"/>
  <c r="D57" i="11" s="1"/>
  <c r="Q63" i="11" a="1"/>
  <c r="Q63" i="11" s="1"/>
  <c r="O61" i="11" a="1"/>
  <c r="O61" i="11" s="1"/>
  <c r="O56" i="11" a="1"/>
  <c r="O56" i="11" s="1"/>
  <c r="P58" i="11" a="1"/>
  <c r="P58" i="11" s="1"/>
  <c r="P56" i="11" a="1"/>
  <c r="P56" i="11" s="1"/>
  <c r="P60" i="11" a="1"/>
  <c r="P60" i="11" s="1"/>
  <c r="P61" i="11" a="1"/>
  <c r="P61" i="11" s="1"/>
  <c r="L57" i="11" a="1"/>
  <c r="L57" i="11" s="1"/>
  <c r="Q59" i="11" a="1"/>
  <c r="Q59" i="11" s="1"/>
  <c r="P59" i="11" a="1"/>
  <c r="P59" i="11" s="1"/>
  <c r="P62" i="11" a="1"/>
  <c r="P62" i="11" s="1"/>
  <c r="I57" i="11" a="1"/>
  <c r="I57" i="11" s="1"/>
  <c r="O59" i="11" a="1"/>
  <c r="O59" i="11" s="1"/>
  <c r="O60" i="11" a="1"/>
  <c r="O60" i="11" s="1"/>
  <c r="C60" i="11" a="1"/>
  <c r="C60" i="11" s="1"/>
  <c r="C61" i="11" a="1"/>
  <c r="C61" i="11" s="1"/>
  <c r="C59" i="11" a="1"/>
  <c r="C59" i="11" s="1"/>
  <c r="C58" i="11" a="1"/>
  <c r="C58" i="11" s="1"/>
  <c r="C63" i="11" a="1"/>
  <c r="C63" i="11" s="1"/>
  <c r="E57" i="11" a="1"/>
  <c r="E57" i="11" s="1"/>
  <c r="E60" i="11" a="1"/>
  <c r="E60" i="11" s="1"/>
  <c r="E61" i="11" a="1"/>
  <c r="E61" i="11" s="1"/>
  <c r="E58" i="11" a="1"/>
  <c r="E58" i="11" s="1"/>
  <c r="E56" i="11" a="1"/>
  <c r="E56" i="11" s="1"/>
  <c r="E63" i="11" a="1"/>
  <c r="E63" i="11" s="1"/>
  <c r="E59" i="11" a="1"/>
  <c r="E59" i="11" s="1"/>
  <c r="H58" i="11" a="1"/>
  <c r="H58" i="11" s="1"/>
  <c r="H60" i="11" a="1"/>
  <c r="H60" i="11" s="1"/>
  <c r="H56" i="11" a="1"/>
  <c r="H56" i="11" s="1"/>
  <c r="H61" i="11" a="1"/>
  <c r="H61" i="11" s="1"/>
  <c r="M60" i="11" a="1"/>
  <c r="M60" i="11" s="1"/>
  <c r="M58" i="11" a="1"/>
  <c r="M58" i="11" s="1"/>
  <c r="M61" i="11" a="1"/>
  <c r="M61" i="11" s="1"/>
  <c r="M62" i="11" a="1"/>
  <c r="M62" i="11" s="1"/>
  <c r="M56" i="11" a="1"/>
  <c r="M56" i="11" s="1"/>
  <c r="G62" i="11" a="1"/>
  <c r="G62" i="11" s="1"/>
  <c r="T58" i="11" a="1"/>
  <c r="T58" i="11" s="1"/>
  <c r="T56" i="11" a="1"/>
  <c r="T56" i="11" s="1"/>
  <c r="T60" i="11" a="1"/>
  <c r="T60" i="11" s="1"/>
  <c r="T61" i="11" a="1"/>
  <c r="T61" i="11" s="1"/>
  <c r="M59" i="11" a="1"/>
  <c r="M59" i="11" s="1"/>
  <c r="O63" i="11" a="1"/>
  <c r="O63" i="11" s="1"/>
  <c r="W45" i="1"/>
  <c r="Z7" i="10"/>
  <c r="Z17" i="10" s="1"/>
  <c r="W47" i="1"/>
  <c r="Z9" i="10"/>
  <c r="Z19" i="10" s="1"/>
  <c r="W49" i="1"/>
  <c r="Z11" i="10"/>
  <c r="AE20" i="12" l="1"/>
  <c r="AE14" i="15"/>
  <c r="AE10" i="15"/>
  <c r="AE17" i="12"/>
  <c r="L5" i="18" s="1"/>
  <c r="AF21" i="12"/>
  <c r="C14" i="20" s="1"/>
  <c r="AF18" i="12"/>
  <c r="M6" i="18" s="1"/>
  <c r="AE8" i="12"/>
  <c r="AF16" i="12"/>
  <c r="M4" i="18" s="1"/>
  <c r="AF5" i="12"/>
  <c r="AE15" i="12"/>
  <c r="B8" i="20" s="1"/>
  <c r="AF15" i="12"/>
  <c r="C8" i="20" s="1"/>
  <c r="AF10" i="12"/>
  <c r="AE4" i="12"/>
  <c r="AE6" i="12"/>
  <c r="AE18" i="12"/>
  <c r="L6" i="18" s="1"/>
  <c r="AF8" i="12"/>
  <c r="AE10" i="12"/>
  <c r="AF14" i="12"/>
  <c r="C7" i="20" s="1"/>
  <c r="AF19" i="12"/>
  <c r="M7" i="18" s="1"/>
  <c r="AE14" i="12"/>
  <c r="L2" i="18" s="1"/>
  <c r="AF20" i="12"/>
  <c r="M8" i="18" s="1"/>
  <c r="AE21" i="12"/>
  <c r="B14" i="20" s="1"/>
  <c r="AF11" i="12"/>
  <c r="AF17" i="12"/>
  <c r="M5" i="18" s="1"/>
  <c r="AE9" i="12"/>
  <c r="AE7" i="12"/>
  <c r="AF6" i="12"/>
  <c r="AF7" i="12"/>
  <c r="AE16" i="12"/>
  <c r="L4" i="18" s="1"/>
  <c r="AE19" i="12"/>
  <c r="B12" i="20" s="1"/>
  <c r="AF4" i="12"/>
  <c r="AF9" i="12"/>
  <c r="AE11" i="12"/>
  <c r="AE5" i="12"/>
  <c r="M3" i="18"/>
  <c r="L8" i="18"/>
  <c r="B13" i="20"/>
  <c r="L65" i="19" a="1"/>
  <c r="L65" i="19" s="1"/>
  <c r="P64" i="19" a="1"/>
  <c r="P64" i="19" s="1"/>
  <c r="W42" i="1"/>
  <c r="W86" i="10"/>
  <c r="H60" i="19" a="1"/>
  <c r="H60" i="19" s="1"/>
  <c r="AF19" i="15"/>
  <c r="AE11" i="15"/>
  <c r="AE6" i="15"/>
  <c r="AF15" i="15"/>
  <c r="AB3" i="18" s="1"/>
  <c r="AF18" i="15"/>
  <c r="AE19" i="15"/>
  <c r="AA7" i="18" s="1"/>
  <c r="AF11" i="15"/>
  <c r="AF10" i="15"/>
  <c r="AF17" i="15"/>
  <c r="AE17" i="15"/>
  <c r="B10" i="25" s="1"/>
  <c r="AF6" i="15"/>
  <c r="AF7" i="15"/>
  <c r="AE18" i="15"/>
  <c r="AE7" i="15"/>
  <c r="AE4" i="15"/>
  <c r="AF9" i="15"/>
  <c r="AF14" i="15"/>
  <c r="AB2" i="18" s="1"/>
  <c r="AE8" i="15"/>
  <c r="AF5" i="15"/>
  <c r="AF8" i="15"/>
  <c r="AF4" i="15"/>
  <c r="AE9" i="15"/>
  <c r="AE5" i="15"/>
  <c r="AG5" i="15" s="1"/>
  <c r="AA15" i="15" s="1"/>
  <c r="AE15" i="15"/>
  <c r="AA3" i="18" s="1"/>
  <c r="AE16" i="15"/>
  <c r="AA4" i="18" s="1"/>
  <c r="AF21" i="15"/>
  <c r="C14" i="25" s="1"/>
  <c r="AE20" i="15"/>
  <c r="B13" i="25" s="1"/>
  <c r="AF16" i="15"/>
  <c r="AB4" i="18" s="1"/>
  <c r="C7" i="25"/>
  <c r="AA5" i="18"/>
  <c r="AA6" i="18"/>
  <c r="B11" i="25"/>
  <c r="AA9" i="18"/>
  <c r="B14" i="25"/>
  <c r="AB6" i="18"/>
  <c r="C11" i="25"/>
  <c r="AA2" i="18"/>
  <c r="B7" i="25"/>
  <c r="AB5" i="18"/>
  <c r="C10" i="25"/>
  <c r="AB7" i="18"/>
  <c r="C12" i="25"/>
  <c r="AB8" i="18"/>
  <c r="C13" i="25"/>
  <c r="B12" i="25"/>
  <c r="AB18" i="24"/>
  <c r="AB20" i="24"/>
  <c r="AB17" i="24"/>
  <c r="AB19" i="24"/>
  <c r="AB15" i="24"/>
  <c r="AB14" i="24"/>
  <c r="AF21" i="24" s="1"/>
  <c r="C14" i="23" s="1"/>
  <c r="AB16" i="24"/>
  <c r="AE10" i="24"/>
  <c r="AE9" i="24"/>
  <c r="AE6" i="24"/>
  <c r="AE11" i="24"/>
  <c r="AF6" i="24"/>
  <c r="AE4" i="24"/>
  <c r="AF11" i="24"/>
  <c r="AF10" i="24"/>
  <c r="AE8" i="24"/>
  <c r="AF9" i="24"/>
  <c r="AF8" i="24"/>
  <c r="AF4" i="24"/>
  <c r="AE5" i="24"/>
  <c r="AF7" i="24"/>
  <c r="AF5" i="24"/>
  <c r="AE7" i="24"/>
  <c r="P65" i="19" a="1"/>
  <c r="P65" i="19" s="1"/>
  <c r="H64" i="19" a="1"/>
  <c r="H64" i="19" s="1"/>
  <c r="T59" i="19" a="1"/>
  <c r="T59" i="19" s="1"/>
  <c r="P58" i="19" a="1"/>
  <c r="P58" i="19" s="1"/>
  <c r="H63" i="19" a="1"/>
  <c r="H63" i="19" s="1"/>
  <c r="T60" i="19" a="1"/>
  <c r="T60" i="19" s="1"/>
  <c r="L61" i="19" a="1"/>
  <c r="L61" i="19" s="1"/>
  <c r="P60" i="19" a="1"/>
  <c r="P60" i="19" s="1"/>
  <c r="L59" i="19" a="1"/>
  <c r="L59" i="19" s="1"/>
  <c r="P63" i="19" a="1"/>
  <c r="P63" i="19" s="1"/>
  <c r="T64" i="19" a="1"/>
  <c r="T64" i="19" s="1"/>
  <c r="P59" i="19" a="1"/>
  <c r="P59" i="19" s="1"/>
  <c r="P61" i="19" a="1"/>
  <c r="P61" i="19" s="1"/>
  <c r="T65" i="19" a="1"/>
  <c r="T65" i="19" s="1"/>
  <c r="H58" i="19" a="1"/>
  <c r="H58" i="19" s="1"/>
  <c r="P62" i="19" a="1"/>
  <c r="P62" i="19" s="1"/>
  <c r="T61" i="19" a="1"/>
  <c r="T61" i="19" s="1"/>
  <c r="H65" i="19" a="1"/>
  <c r="H65" i="19" s="1"/>
  <c r="L58" i="19" a="1"/>
  <c r="L58" i="19" s="1"/>
  <c r="L60" i="19" a="1"/>
  <c r="L60" i="19" s="1"/>
  <c r="T62" i="19" a="1"/>
  <c r="T62" i="19" s="1"/>
  <c r="T63" i="19" a="1"/>
  <c r="T63" i="19" s="1"/>
  <c r="H59" i="19" a="1"/>
  <c r="H59" i="19" s="1"/>
  <c r="H61" i="19" a="1"/>
  <c r="H61" i="19" s="1"/>
  <c r="L63" i="19" a="1"/>
  <c r="L63" i="19" s="1"/>
  <c r="L64" i="19" a="1"/>
  <c r="L64" i="19" s="1"/>
  <c r="T58" i="19" a="1"/>
  <c r="T58" i="19" s="1"/>
  <c r="H62" i="19" a="1"/>
  <c r="H62" i="19" s="1"/>
  <c r="L62" i="19" a="1"/>
  <c r="L62" i="19" s="1"/>
  <c r="V103" i="19"/>
  <c r="O99" i="19"/>
  <c r="O103" i="19"/>
  <c r="J101" i="19"/>
  <c r="G101" i="19"/>
  <c r="E106" i="19"/>
  <c r="E103" i="19"/>
  <c r="R105" i="19"/>
  <c r="R104" i="19"/>
  <c r="Q99" i="19"/>
  <c r="M105" i="19"/>
  <c r="U101" i="19"/>
  <c r="S104" i="19"/>
  <c r="S103" i="19"/>
  <c r="N101" i="19"/>
  <c r="I99" i="19"/>
  <c r="Q101" i="19"/>
  <c r="F104" i="19"/>
  <c r="F105" i="19"/>
  <c r="M104" i="19"/>
  <c r="V106" i="19"/>
  <c r="V100" i="19"/>
  <c r="S100" i="19"/>
  <c r="R106" i="19"/>
  <c r="N102" i="19"/>
  <c r="O106" i="19"/>
  <c r="K105" i="19"/>
  <c r="P64" i="23" a="1"/>
  <c r="P64" i="23" s="1"/>
  <c r="P60" i="23" a="1"/>
  <c r="P60" i="23" s="1"/>
  <c r="P62" i="23" a="1"/>
  <c r="P62" i="23" s="1"/>
  <c r="P58" i="23" a="1"/>
  <c r="P58" i="23" s="1"/>
  <c r="P63" i="23" a="1"/>
  <c r="P63" i="23" s="1"/>
  <c r="P59" i="23" a="1"/>
  <c r="P59" i="23" s="1"/>
  <c r="P61" i="23" a="1"/>
  <c r="P61" i="23" s="1"/>
  <c r="P65" i="23" a="1"/>
  <c r="P65" i="23" s="1"/>
  <c r="V99" i="19"/>
  <c r="G102" i="19"/>
  <c r="Q103" i="19"/>
  <c r="Q104" i="19"/>
  <c r="U104" i="19"/>
  <c r="U103" i="19"/>
  <c r="S105" i="19"/>
  <c r="N104" i="19"/>
  <c r="I102" i="19"/>
  <c r="I104" i="19"/>
  <c r="K101" i="19"/>
  <c r="F103" i="19"/>
  <c r="M106" i="19"/>
  <c r="M103" i="19"/>
  <c r="E100" i="19"/>
  <c r="N105" i="19"/>
  <c r="N106" i="19"/>
  <c r="Q105" i="19"/>
  <c r="F106" i="19"/>
  <c r="K103" i="19"/>
  <c r="Q106" i="19"/>
  <c r="J104" i="19"/>
  <c r="E101" i="19"/>
  <c r="R103" i="19"/>
  <c r="V101" i="19"/>
  <c r="J99" i="19"/>
  <c r="G103" i="19"/>
  <c r="E102" i="19"/>
  <c r="Q102" i="19"/>
  <c r="S102" i="19"/>
  <c r="R99" i="19"/>
  <c r="S106" i="19"/>
  <c r="U106" i="19"/>
  <c r="U99" i="19"/>
  <c r="S101" i="19"/>
  <c r="N103" i="19"/>
  <c r="I106" i="19"/>
  <c r="I103" i="19"/>
  <c r="K104" i="19"/>
  <c r="F101" i="19"/>
  <c r="M102" i="19"/>
  <c r="M99" i="19"/>
  <c r="O100" i="19"/>
  <c r="J102" i="19"/>
  <c r="Q100" i="19"/>
  <c r="Q61" i="19" s="1" a="1"/>
  <c r="Q61" i="19" s="1"/>
  <c r="K106" i="19"/>
  <c r="J100" i="19"/>
  <c r="F102" i="19"/>
  <c r="H64" i="23" a="1"/>
  <c r="H64" i="23" s="1"/>
  <c r="H60" i="23" a="1"/>
  <c r="H60" i="23" s="1"/>
  <c r="H62" i="23" a="1"/>
  <c r="H62" i="23" s="1"/>
  <c r="H58" i="23" a="1"/>
  <c r="H58" i="23" s="1"/>
  <c r="H63" i="23" a="1"/>
  <c r="H63" i="23" s="1"/>
  <c r="H59" i="23" a="1"/>
  <c r="H59" i="23" s="1"/>
  <c r="H61" i="23" a="1"/>
  <c r="H61" i="23" s="1"/>
  <c r="H65" i="23" a="1"/>
  <c r="H65" i="23" s="1"/>
  <c r="L64" i="23" a="1"/>
  <c r="L64" i="23" s="1"/>
  <c r="L60" i="23" a="1"/>
  <c r="L60" i="23" s="1"/>
  <c r="L62" i="23" a="1"/>
  <c r="L62" i="23" s="1"/>
  <c r="L58" i="23" a="1"/>
  <c r="L58" i="23" s="1"/>
  <c r="L63" i="23" a="1"/>
  <c r="L63" i="23" s="1"/>
  <c r="L59" i="23" a="1"/>
  <c r="L59" i="23" s="1"/>
  <c r="L61" i="23" a="1"/>
  <c r="L61" i="23" s="1"/>
  <c r="L65" i="23" a="1"/>
  <c r="L65" i="23" s="1"/>
  <c r="T64" i="23" a="1"/>
  <c r="T64" i="23" s="1"/>
  <c r="T60" i="23" a="1"/>
  <c r="T60" i="23" s="1"/>
  <c r="T62" i="23" a="1"/>
  <c r="T62" i="23" s="1"/>
  <c r="T58" i="23" a="1"/>
  <c r="T58" i="23" s="1"/>
  <c r="T63" i="23" a="1"/>
  <c r="T63" i="23" s="1"/>
  <c r="T59" i="23" a="1"/>
  <c r="T59" i="23" s="1"/>
  <c r="T65" i="23" a="1"/>
  <c r="T65" i="23" s="1"/>
  <c r="T61" i="23" a="1"/>
  <c r="T61" i="23" s="1"/>
  <c r="O105" i="19"/>
  <c r="G104" i="19"/>
  <c r="R102" i="19"/>
  <c r="O102" i="19"/>
  <c r="O104" i="19"/>
  <c r="G106" i="19"/>
  <c r="V104" i="19"/>
  <c r="I105" i="19"/>
  <c r="O101" i="19"/>
  <c r="O61" i="19" s="1" a="1"/>
  <c r="O61" i="19" s="1"/>
  <c r="J103" i="19"/>
  <c r="G99" i="19"/>
  <c r="G100" i="19"/>
  <c r="E104" i="19"/>
  <c r="K100" i="19"/>
  <c r="N100" i="19"/>
  <c r="R101" i="19"/>
  <c r="F100" i="19"/>
  <c r="U102" i="19"/>
  <c r="U100" i="19"/>
  <c r="S99" i="19"/>
  <c r="N99" i="19"/>
  <c r="N59" i="19" s="1" a="1"/>
  <c r="N59" i="19" s="1"/>
  <c r="I101" i="19"/>
  <c r="I100" i="19"/>
  <c r="K99" i="19"/>
  <c r="F99" i="19"/>
  <c r="F63" i="19" s="1" a="1"/>
  <c r="F63" i="19" s="1"/>
  <c r="M101" i="19"/>
  <c r="M100" i="19"/>
  <c r="G105" i="19"/>
  <c r="J106" i="19"/>
  <c r="E105" i="19"/>
  <c r="R100" i="19"/>
  <c r="V102" i="19"/>
  <c r="J105" i="19"/>
  <c r="V105" i="19"/>
  <c r="U105" i="19"/>
  <c r="E99" i="19"/>
  <c r="AE9" i="14"/>
  <c r="AF5" i="14"/>
  <c r="AE7" i="14"/>
  <c r="AF8" i="14"/>
  <c r="AE10" i="14"/>
  <c r="AF10" i="14"/>
  <c r="AE11" i="14"/>
  <c r="AE8" i="14"/>
  <c r="AE4" i="14"/>
  <c r="AF6" i="14"/>
  <c r="AE5" i="14"/>
  <c r="AF11" i="14"/>
  <c r="AF7" i="14"/>
  <c r="AF4" i="14"/>
  <c r="AF9" i="14"/>
  <c r="AG9" i="14" s="1"/>
  <c r="AA19" i="14" s="1"/>
  <c r="AE6" i="14"/>
  <c r="C65" i="11" a="1"/>
  <c r="C65" i="11" s="1"/>
  <c r="P68" i="11" a="1"/>
  <c r="P68" i="11" s="1"/>
  <c r="H70" i="11" a="1"/>
  <c r="H70" i="11" s="1"/>
  <c r="AF20" i="14"/>
  <c r="AF21" i="14"/>
  <c r="AE18" i="14"/>
  <c r="AE17" i="14"/>
  <c r="AF15" i="14"/>
  <c r="AF17" i="14"/>
  <c r="AF14" i="14"/>
  <c r="AE16" i="14"/>
  <c r="AF19" i="14"/>
  <c r="AE19" i="14"/>
  <c r="AE20" i="14"/>
  <c r="AE14" i="14"/>
  <c r="AF16" i="14"/>
  <c r="AE21" i="14"/>
  <c r="AF18" i="14"/>
  <c r="AE15" i="14"/>
  <c r="T67" i="11" a="1"/>
  <c r="T67" i="11" s="1"/>
  <c r="T68" i="11" a="1"/>
  <c r="T68" i="11" s="1"/>
  <c r="T72" i="11" a="1"/>
  <c r="T72" i="11" s="1"/>
  <c r="T66" i="11" a="1"/>
  <c r="T66" i="11" s="1"/>
  <c r="T69" i="11" a="1"/>
  <c r="T69" i="11" s="1"/>
  <c r="T71" i="11" a="1"/>
  <c r="T71" i="11" s="1"/>
  <c r="T65" i="11" a="1"/>
  <c r="T65" i="11" s="1"/>
  <c r="T70" i="11" a="1"/>
  <c r="T70" i="11" s="1"/>
  <c r="C68" i="11" a="1"/>
  <c r="C68" i="11" s="1"/>
  <c r="C71" i="11" a="1"/>
  <c r="C71" i="11" s="1"/>
  <c r="C70" i="11" a="1"/>
  <c r="C70" i="11" s="1"/>
  <c r="C66" i="11" a="1"/>
  <c r="C66" i="11" s="1"/>
  <c r="C69" i="11" a="1"/>
  <c r="C69" i="11" s="1"/>
  <c r="C67" i="11" a="1"/>
  <c r="C67" i="11" s="1"/>
  <c r="C72" i="11" a="1"/>
  <c r="C72" i="11" s="1"/>
  <c r="O68" i="11" a="1"/>
  <c r="O68" i="11" s="1"/>
  <c r="O69" i="11" a="1"/>
  <c r="O69" i="11" s="1"/>
  <c r="O67" i="11" a="1"/>
  <c r="O67" i="11" s="1"/>
  <c r="O65" i="11" a="1"/>
  <c r="O65" i="11" s="1"/>
  <c r="O70" i="11" a="1"/>
  <c r="O70" i="11" s="1"/>
  <c r="O66" i="11" a="1"/>
  <c r="O66" i="11" s="1"/>
  <c r="O71" i="11" a="1"/>
  <c r="O71" i="11" s="1"/>
  <c r="O72" i="11" a="1"/>
  <c r="O72" i="11" s="1"/>
  <c r="G68" i="11" a="1"/>
  <c r="G68" i="11" s="1"/>
  <c r="G69" i="11" a="1"/>
  <c r="G69" i="11" s="1"/>
  <c r="G65" i="11" a="1"/>
  <c r="G65" i="11" s="1"/>
  <c r="G70" i="11" a="1"/>
  <c r="G70" i="11" s="1"/>
  <c r="G67" i="11" a="1"/>
  <c r="G67" i="11" s="1"/>
  <c r="G66" i="11" a="1"/>
  <c r="G66" i="11" s="1"/>
  <c r="G71" i="11" a="1"/>
  <c r="G71" i="11" s="1"/>
  <c r="G72" i="11" a="1"/>
  <c r="G72" i="11" s="1"/>
  <c r="U62" i="11"/>
  <c r="H67" i="11" a="1"/>
  <c r="H67" i="11" s="1"/>
  <c r="H72" i="11" a="1"/>
  <c r="H72" i="11" s="1"/>
  <c r="H66" i="11" a="1"/>
  <c r="H66" i="11" s="1"/>
  <c r="H68" i="11" a="1"/>
  <c r="H68" i="11" s="1"/>
  <c r="H69" i="11" a="1"/>
  <c r="H69" i="11" s="1"/>
  <c r="H65" i="11" a="1"/>
  <c r="H65" i="11" s="1"/>
  <c r="H71" i="11" a="1"/>
  <c r="H71" i="11" s="1"/>
  <c r="E66" i="11" a="1"/>
  <c r="E66" i="11" s="1"/>
  <c r="E71" i="11" a="1"/>
  <c r="E71" i="11" s="1"/>
  <c r="E65" i="11" a="1"/>
  <c r="E65" i="11" s="1"/>
  <c r="E70" i="11" a="1"/>
  <c r="E70" i="11" s="1"/>
  <c r="E67" i="11" a="1"/>
  <c r="E67" i="11" s="1"/>
  <c r="E72" i="11" a="1"/>
  <c r="E72" i="11" s="1"/>
  <c r="E68" i="11" a="1"/>
  <c r="E68" i="11" s="1"/>
  <c r="E69" i="11" a="1"/>
  <c r="E69" i="11" s="1"/>
  <c r="P67" i="11" a="1"/>
  <c r="P67" i="11" s="1"/>
  <c r="P72" i="11" a="1"/>
  <c r="P72" i="11" s="1"/>
  <c r="P71" i="11" a="1"/>
  <c r="P71" i="11" s="1"/>
  <c r="P69" i="11" a="1"/>
  <c r="P69" i="11" s="1"/>
  <c r="P65" i="11" a="1"/>
  <c r="P65" i="11" s="1"/>
  <c r="P70" i="11" a="1"/>
  <c r="P70" i="11" s="1"/>
  <c r="P66" i="11" a="1"/>
  <c r="P66" i="11" s="1"/>
  <c r="S69" i="11" a="1"/>
  <c r="S69" i="11" s="1"/>
  <c r="S65" i="11" a="1"/>
  <c r="S65" i="11" s="1"/>
  <c r="S70" i="11" a="1"/>
  <c r="S70" i="11" s="1"/>
  <c r="S68" i="11" a="1"/>
  <c r="S68" i="11" s="1"/>
  <c r="S72" i="11" a="1"/>
  <c r="S72" i="11" s="1"/>
  <c r="S66" i="11" a="1"/>
  <c r="S66" i="11" s="1"/>
  <c r="S71" i="11" a="1"/>
  <c r="S71" i="11" s="1"/>
  <c r="S67" i="11" a="1"/>
  <c r="S67" i="11" s="1"/>
  <c r="K68" i="11" a="1"/>
  <c r="K68" i="11" s="1"/>
  <c r="K69" i="11" a="1"/>
  <c r="K69" i="11" s="1"/>
  <c r="K72" i="11" a="1"/>
  <c r="K72" i="11" s="1"/>
  <c r="K65" i="11" a="1"/>
  <c r="K65" i="11" s="1"/>
  <c r="K70" i="11" a="1"/>
  <c r="K70" i="11" s="1"/>
  <c r="K66" i="11" a="1"/>
  <c r="K66" i="11" s="1"/>
  <c r="K71" i="11" a="1"/>
  <c r="K71" i="11" s="1"/>
  <c r="K67" i="11" a="1"/>
  <c r="K67" i="11" s="1"/>
  <c r="M66" i="11" a="1"/>
  <c r="M66" i="11" s="1"/>
  <c r="M71" i="11" a="1"/>
  <c r="M71" i="11" s="1"/>
  <c r="M67" i="11" a="1"/>
  <c r="M67" i="11" s="1"/>
  <c r="M72" i="11" a="1"/>
  <c r="M72" i="11" s="1"/>
  <c r="M70" i="11" a="1"/>
  <c r="M70" i="11" s="1"/>
  <c r="M68" i="11" a="1"/>
  <c r="M68" i="11" s="1"/>
  <c r="M69" i="11" a="1"/>
  <c r="M69" i="11" s="1"/>
  <c r="M65" i="11" a="1"/>
  <c r="M65" i="11" s="1"/>
  <c r="U57" i="11"/>
  <c r="Q66" i="11" a="1"/>
  <c r="Q66" i="11" s="1"/>
  <c r="Q71" i="11" a="1"/>
  <c r="Q71" i="11" s="1"/>
  <c r="Q70" i="11" a="1"/>
  <c r="Q70" i="11" s="1"/>
  <c r="Q67" i="11" a="1"/>
  <c r="Q67" i="11" s="1"/>
  <c r="Q68" i="11" a="1"/>
  <c r="Q68" i="11" s="1"/>
  <c r="Q72" i="11" a="1"/>
  <c r="Q72" i="11" s="1"/>
  <c r="Q69" i="11" a="1"/>
  <c r="Q69" i="11" s="1"/>
  <c r="Q65" i="11" a="1"/>
  <c r="Q65" i="11" s="1"/>
  <c r="L67" i="11" a="1"/>
  <c r="L67" i="11" s="1"/>
  <c r="L72" i="11" a="1"/>
  <c r="L72" i="11" s="1"/>
  <c r="L68" i="11" a="1"/>
  <c r="L68" i="11" s="1"/>
  <c r="L69" i="11" a="1"/>
  <c r="L69" i="11" s="1"/>
  <c r="L66" i="11" a="1"/>
  <c r="L66" i="11" s="1"/>
  <c r="L71" i="11" a="1"/>
  <c r="L71" i="11" s="1"/>
  <c r="L65" i="11" a="1"/>
  <c r="L65" i="11" s="1"/>
  <c r="L70" i="11" a="1"/>
  <c r="L70" i="11" s="1"/>
  <c r="I66" i="11" a="1"/>
  <c r="I66" i="11" s="1"/>
  <c r="I71" i="11" a="1"/>
  <c r="I71" i="11" s="1"/>
  <c r="I67" i="11" a="1"/>
  <c r="I67" i="11" s="1"/>
  <c r="I72" i="11" a="1"/>
  <c r="I72" i="11" s="1"/>
  <c r="I65" i="11" a="1"/>
  <c r="I65" i="11" s="1"/>
  <c r="I68" i="11" a="1"/>
  <c r="I68" i="11" s="1"/>
  <c r="I69" i="11" a="1"/>
  <c r="I69" i="11" s="1"/>
  <c r="I70" i="11" a="1"/>
  <c r="I70" i="11" s="1"/>
  <c r="D67" i="11" a="1"/>
  <c r="D67" i="11" s="1"/>
  <c r="D72" i="11" a="1"/>
  <c r="D72" i="11" s="1"/>
  <c r="D71" i="11" a="1"/>
  <c r="D71" i="11" s="1"/>
  <c r="D65" i="11" a="1"/>
  <c r="D65" i="11" s="1"/>
  <c r="D68" i="11" a="1"/>
  <c r="D68" i="11" s="1"/>
  <c r="D69" i="11" a="1"/>
  <c r="D69" i="11" s="1"/>
  <c r="D66" i="11" a="1"/>
  <c r="D66" i="11" s="1"/>
  <c r="D70" i="11" a="1"/>
  <c r="D70" i="11" s="1"/>
  <c r="U61" i="11"/>
  <c r="U63" i="11"/>
  <c r="U60" i="11"/>
  <c r="U58" i="11"/>
  <c r="U56" i="11"/>
  <c r="U59" i="11"/>
  <c r="AA8" i="10"/>
  <c r="AD8" i="10" s="1"/>
  <c r="AA4" i="10"/>
  <c r="AD4" i="10" s="1"/>
  <c r="Z21" i="10"/>
  <c r="AA5" i="10"/>
  <c r="AD5" i="10" s="1"/>
  <c r="AA9" i="10"/>
  <c r="AD9" i="10" s="1"/>
  <c r="AA6" i="10"/>
  <c r="AD6" i="10" s="1"/>
  <c r="AA10" i="10"/>
  <c r="AD10" i="10" s="1"/>
  <c r="AA7" i="10"/>
  <c r="AD7" i="10" s="1"/>
  <c r="AA11" i="10"/>
  <c r="AD11" i="10" s="1"/>
  <c r="B7" i="20" l="1"/>
  <c r="B10" i="20"/>
  <c r="AG11" i="15"/>
  <c r="AA21" i="15" s="1"/>
  <c r="AG6" i="15"/>
  <c r="AA16" i="15" s="1"/>
  <c r="AA8" i="18"/>
  <c r="AG8" i="15"/>
  <c r="AA18" i="15" s="1"/>
  <c r="AG10" i="15"/>
  <c r="AA20" i="15" s="1"/>
  <c r="AG7" i="15"/>
  <c r="AA17" i="15" s="1"/>
  <c r="AG18" i="15" s="1"/>
  <c r="B11" i="20"/>
  <c r="AG11" i="12"/>
  <c r="AA21" i="12" s="1"/>
  <c r="AG5" i="12"/>
  <c r="AA15" i="12" s="1"/>
  <c r="C11" i="20"/>
  <c r="M9" i="18"/>
  <c r="L3" i="18"/>
  <c r="AG4" i="12"/>
  <c r="AA14" i="12" s="1"/>
  <c r="AG21" i="12" s="1"/>
  <c r="C13" i="20"/>
  <c r="C10" i="20"/>
  <c r="C12" i="20"/>
  <c r="AG8" i="12"/>
  <c r="AA18" i="12" s="1"/>
  <c r="AG7" i="12"/>
  <c r="AA17" i="12" s="1"/>
  <c r="AG18" i="12" s="1"/>
  <c r="C9" i="20"/>
  <c r="L7" i="18"/>
  <c r="AG9" i="12"/>
  <c r="AA19" i="12" s="1"/>
  <c r="AG16" i="12" s="1"/>
  <c r="AG10" i="12"/>
  <c r="AA20" i="12" s="1"/>
  <c r="AG15" i="12" s="1"/>
  <c r="AG6" i="12"/>
  <c r="AA16" i="12" s="1"/>
  <c r="AG19" i="12" s="1"/>
  <c r="L9" i="18"/>
  <c r="M2" i="18"/>
  <c r="B9" i="20"/>
  <c r="Q59" i="19" a="1"/>
  <c r="Q59" i="19" s="1"/>
  <c r="K65" i="19" a="1"/>
  <c r="K65" i="19" s="1"/>
  <c r="S65" i="19" a="1"/>
  <c r="S65" i="19" s="1"/>
  <c r="R61" i="19" a="1"/>
  <c r="R61" i="19" s="1"/>
  <c r="C8" i="25"/>
  <c r="C9" i="25"/>
  <c r="B9" i="25"/>
  <c r="B8" i="25"/>
  <c r="AG9" i="15"/>
  <c r="AA19" i="15" s="1"/>
  <c r="AG16" i="15" s="1"/>
  <c r="AG4" i="15"/>
  <c r="AA14" i="15" s="1"/>
  <c r="AG21" i="15" s="1"/>
  <c r="AB9" i="18"/>
  <c r="AG10" i="24"/>
  <c r="AA20" i="24" s="1"/>
  <c r="AF18" i="24"/>
  <c r="C11" i="23" s="1"/>
  <c r="AF17" i="24"/>
  <c r="C10" i="23" s="1"/>
  <c r="AG6" i="24"/>
  <c r="AA16" i="24" s="1"/>
  <c r="AF15" i="24"/>
  <c r="C8" i="23" s="1"/>
  <c r="AF20" i="24"/>
  <c r="C13" i="23" s="1"/>
  <c r="AE21" i="24"/>
  <c r="B14" i="23" s="1"/>
  <c r="AE19" i="24"/>
  <c r="B12" i="23" s="1"/>
  <c r="AE14" i="24"/>
  <c r="B7" i="23" s="1"/>
  <c r="AF19" i="24"/>
  <c r="C12" i="23" s="1"/>
  <c r="AE17" i="24"/>
  <c r="B10" i="23" s="1"/>
  <c r="AE20" i="24"/>
  <c r="B13" i="23" s="1"/>
  <c r="AF14" i="24"/>
  <c r="C7" i="23" s="1"/>
  <c r="AE16" i="24"/>
  <c r="B9" i="23" s="1"/>
  <c r="AG19" i="24"/>
  <c r="D12" i="23" s="1"/>
  <c r="AE15" i="24"/>
  <c r="B8" i="23" s="1"/>
  <c r="AE18" i="24"/>
  <c r="B11" i="23" s="1"/>
  <c r="AF16" i="24"/>
  <c r="C9" i="23" s="1"/>
  <c r="AG5" i="24"/>
  <c r="AA15" i="24" s="1"/>
  <c r="AG8" i="24"/>
  <c r="AA18" i="24" s="1"/>
  <c r="AG16" i="24" s="1"/>
  <c r="D9" i="23" s="1"/>
  <c r="AG11" i="24"/>
  <c r="AA21" i="24" s="1"/>
  <c r="AG20" i="24" s="1"/>
  <c r="D13" i="23" s="1"/>
  <c r="AG9" i="24"/>
  <c r="AA19" i="24" s="1"/>
  <c r="AG7" i="24"/>
  <c r="AA17" i="24" s="1"/>
  <c r="AG4" i="24"/>
  <c r="AA14" i="24" s="1"/>
  <c r="AG21" i="24" s="1"/>
  <c r="D14" i="23" s="1"/>
  <c r="N58" i="19" a="1"/>
  <c r="N58" i="19" s="1"/>
  <c r="N63" i="19" a="1"/>
  <c r="N63" i="19" s="1"/>
  <c r="E60" i="19" a="1"/>
  <c r="E60" i="19" s="1"/>
  <c r="F58" i="19" a="1"/>
  <c r="F58" i="19" s="1"/>
  <c r="M60" i="19" a="1"/>
  <c r="M60" i="19" s="1"/>
  <c r="I63" i="19" a="1"/>
  <c r="I63" i="19" s="1"/>
  <c r="F60" i="19" a="1"/>
  <c r="F60" i="19" s="1"/>
  <c r="U60" i="19" a="1"/>
  <c r="U60" i="19" s="1"/>
  <c r="R63" i="19" a="1"/>
  <c r="R63" i="19" s="1"/>
  <c r="J63" i="19" a="1"/>
  <c r="J63" i="19" s="1"/>
  <c r="O65" i="19" a="1"/>
  <c r="O65" i="19" s="1"/>
  <c r="K61" i="19" a="1"/>
  <c r="K61" i="19" s="1"/>
  <c r="M62" i="19" a="1"/>
  <c r="M62" i="19" s="1"/>
  <c r="V62" i="19" a="1"/>
  <c r="V62" i="19" s="1"/>
  <c r="I59" i="19" a="1"/>
  <c r="I59" i="19" s="1"/>
  <c r="V65" i="19" a="1"/>
  <c r="V65" i="19" s="1"/>
  <c r="S61" i="19" a="1"/>
  <c r="S61" i="19" s="1"/>
  <c r="G61" i="19" a="1"/>
  <c r="G61" i="19" s="1"/>
  <c r="M61" i="19" a="1"/>
  <c r="M61" i="19" s="1"/>
  <c r="F62" i="19" a="1"/>
  <c r="F62" i="19" s="1"/>
  <c r="U64" i="19" a="1"/>
  <c r="U64" i="19" s="1"/>
  <c r="J58" i="19" a="1"/>
  <c r="J58" i="19" s="1"/>
  <c r="Q63" i="19" a="1"/>
  <c r="Q63" i="19" s="1"/>
  <c r="N62" i="19" a="1"/>
  <c r="N62" i="19" s="1"/>
  <c r="G62" i="19" a="1"/>
  <c r="G62" i="19" s="1"/>
  <c r="R59" i="19" a="1"/>
  <c r="R59" i="19" s="1"/>
  <c r="J61" i="19" a="1"/>
  <c r="J61" i="19" s="1"/>
  <c r="U58" i="19" a="1"/>
  <c r="U58" i="19" s="1"/>
  <c r="E62" i="19" a="1"/>
  <c r="E62" i="19" s="1"/>
  <c r="R62" i="19" a="1"/>
  <c r="R62" i="19" s="1"/>
  <c r="I64" i="19" a="1"/>
  <c r="I64" i="19" s="1"/>
  <c r="G58" i="19" a="1"/>
  <c r="G58" i="19" s="1"/>
  <c r="O62" i="19" a="1"/>
  <c r="O62" i="19" s="1"/>
  <c r="I61" i="19" a="1"/>
  <c r="I61" i="19" s="1"/>
  <c r="O64" i="19" a="1"/>
  <c r="O64" i="19" s="1"/>
  <c r="K59" i="19" a="1"/>
  <c r="K59" i="19" s="1"/>
  <c r="S59" i="19" a="1"/>
  <c r="S59" i="19" s="1"/>
  <c r="E63" i="19" a="1"/>
  <c r="E63" i="19" s="1"/>
  <c r="V63" i="19" a="1"/>
  <c r="V63" i="19" s="1"/>
  <c r="I58" i="19" a="1"/>
  <c r="I58" i="19" s="1"/>
  <c r="Q62" i="19" a="1"/>
  <c r="Q62" i="19" s="1"/>
  <c r="Q64" i="19" a="1"/>
  <c r="Q64" i="19" s="1"/>
  <c r="O60" i="19" a="1"/>
  <c r="O60" i="19" s="1"/>
  <c r="F65" i="19" a="1"/>
  <c r="F65" i="19" s="1"/>
  <c r="K64" i="19" a="1"/>
  <c r="K64" i="19" s="1"/>
  <c r="K62" i="19" a="1"/>
  <c r="K62" i="19" s="1"/>
  <c r="N61" i="19" a="1"/>
  <c r="N61" i="19" s="1"/>
  <c r="S60" i="19" a="1"/>
  <c r="S60" i="19" s="1"/>
  <c r="S62" i="19" a="1"/>
  <c r="S62" i="19" s="1"/>
  <c r="G64" i="19" a="1"/>
  <c r="G64" i="19" s="1"/>
  <c r="J65" i="19" a="1"/>
  <c r="J65" i="19" s="1"/>
  <c r="J59" i="19" a="1"/>
  <c r="J59" i="19" s="1"/>
  <c r="M58" i="19" a="1"/>
  <c r="M58" i="19" s="1"/>
  <c r="M63" i="19" a="1"/>
  <c r="M63" i="19" s="1"/>
  <c r="U65" i="19" a="1"/>
  <c r="U65" i="19" s="1"/>
  <c r="U63" i="19" a="1"/>
  <c r="U63" i="19" s="1"/>
  <c r="R64" i="19" a="1"/>
  <c r="R64" i="19" s="1"/>
  <c r="E58" i="19" a="1"/>
  <c r="E58" i="19" s="1"/>
  <c r="E64" i="19" a="1"/>
  <c r="E64" i="19" s="1"/>
  <c r="V64" i="19" a="1"/>
  <c r="V64" i="19" s="1"/>
  <c r="V58" i="19" a="1"/>
  <c r="V58" i="19" s="1"/>
  <c r="I62" i="19" a="1"/>
  <c r="I62" i="19" s="1"/>
  <c r="I60" i="19" a="1"/>
  <c r="I60" i="19" s="1"/>
  <c r="Q58" i="19" a="1"/>
  <c r="Q58" i="19" s="1"/>
  <c r="Q60" i="19" a="1"/>
  <c r="Q60" i="19" s="1"/>
  <c r="O63" i="19" a="1"/>
  <c r="O63" i="19" s="1"/>
  <c r="O58" i="19" a="1"/>
  <c r="O58" i="19" s="1"/>
  <c r="F61" i="19" a="1"/>
  <c r="F61" i="19" s="1"/>
  <c r="F59" i="19" a="1"/>
  <c r="F59" i="19" s="1"/>
  <c r="K60" i="19" a="1"/>
  <c r="K60" i="19" s="1"/>
  <c r="K58" i="19" a="1"/>
  <c r="K58" i="19" s="1"/>
  <c r="N64" i="19" a="1"/>
  <c r="N64" i="19" s="1"/>
  <c r="N65" i="19" a="1"/>
  <c r="N65" i="19" s="1"/>
  <c r="S64" i="19" a="1"/>
  <c r="S64" i="19" s="1"/>
  <c r="S58" i="19" a="1"/>
  <c r="S58" i="19" s="1"/>
  <c r="G63" i="19" a="1"/>
  <c r="G63" i="19" s="1"/>
  <c r="G65" i="19" a="1"/>
  <c r="G65" i="19" s="1"/>
  <c r="J64" i="19" a="1"/>
  <c r="J64" i="19" s="1"/>
  <c r="J62" i="19" a="1"/>
  <c r="J62" i="19" s="1"/>
  <c r="M65" i="19" a="1"/>
  <c r="M65" i="19" s="1"/>
  <c r="M59" i="19" a="1"/>
  <c r="M59" i="19" s="1"/>
  <c r="U61" i="19" a="1"/>
  <c r="U61" i="19" s="1"/>
  <c r="U59" i="19" a="1"/>
  <c r="U59" i="19" s="1"/>
  <c r="R60" i="19" a="1"/>
  <c r="R60" i="19" s="1"/>
  <c r="R58" i="19" a="1"/>
  <c r="R58" i="19" s="1"/>
  <c r="E61" i="19" a="1"/>
  <c r="E61" i="19" s="1"/>
  <c r="E59" i="19" a="1"/>
  <c r="E59" i="19" s="1"/>
  <c r="V60" i="19" a="1"/>
  <c r="V60" i="19" s="1"/>
  <c r="G60" i="19" a="1"/>
  <c r="G60" i="19" s="1"/>
  <c r="I65" i="19" a="1"/>
  <c r="I65" i="19" s="1"/>
  <c r="Q65" i="19" a="1"/>
  <c r="Q65" i="19" s="1"/>
  <c r="O59" i="19" a="1"/>
  <c r="O59" i="19" s="1"/>
  <c r="F64" i="19" a="1"/>
  <c r="F64" i="19" s="1"/>
  <c r="K63" i="19" a="1"/>
  <c r="K63" i="19" s="1"/>
  <c r="N60" i="19" a="1"/>
  <c r="N60" i="19" s="1"/>
  <c r="S63" i="19" a="1"/>
  <c r="S63" i="19" s="1"/>
  <c r="G59" i="19" a="1"/>
  <c r="G59" i="19" s="1"/>
  <c r="J60" i="19" a="1"/>
  <c r="J60" i="19" s="1"/>
  <c r="U62" i="19" a="1"/>
  <c r="U62" i="19" s="1"/>
  <c r="R65" i="19" a="1"/>
  <c r="R65" i="19" s="1"/>
  <c r="E65" i="19" a="1"/>
  <c r="E65" i="19" s="1"/>
  <c r="V61" i="19" a="1"/>
  <c r="V61" i="19" s="1"/>
  <c r="V59" i="19" a="1"/>
  <c r="V59" i="19" s="1"/>
  <c r="B61" i="19"/>
  <c r="B65" i="19"/>
  <c r="B58" i="19"/>
  <c r="B63" i="19"/>
  <c r="B64" i="19"/>
  <c r="F62" i="23" a="1"/>
  <c r="F62" i="23" s="1"/>
  <c r="F58" i="23" a="1"/>
  <c r="F58" i="23" s="1"/>
  <c r="F64" i="23" a="1"/>
  <c r="F64" i="23" s="1"/>
  <c r="F60" i="23" a="1"/>
  <c r="F60" i="23" s="1"/>
  <c r="F65" i="23" a="1"/>
  <c r="F65" i="23" s="1"/>
  <c r="F61" i="23" a="1"/>
  <c r="F61" i="23" s="1"/>
  <c r="F59" i="23" a="1"/>
  <c r="F59" i="23" s="1"/>
  <c r="F63" i="23" a="1"/>
  <c r="F63" i="23" s="1"/>
  <c r="N62" i="23" a="1"/>
  <c r="N62" i="23" s="1"/>
  <c r="N58" i="23" a="1"/>
  <c r="N58" i="23" s="1"/>
  <c r="N64" i="23" a="1"/>
  <c r="N64" i="23" s="1"/>
  <c r="N60" i="23" a="1"/>
  <c r="N60" i="23" s="1"/>
  <c r="N65" i="23" a="1"/>
  <c r="N65" i="23" s="1"/>
  <c r="N61" i="23" a="1"/>
  <c r="N61" i="23" s="1"/>
  <c r="N59" i="23" a="1"/>
  <c r="N59" i="23" s="1"/>
  <c r="N63" i="23" a="1"/>
  <c r="N63" i="23" s="1"/>
  <c r="G63" i="23" a="1"/>
  <c r="G63" i="23" s="1"/>
  <c r="G59" i="23" a="1"/>
  <c r="G59" i="23" s="1"/>
  <c r="G65" i="23" a="1"/>
  <c r="G65" i="23" s="1"/>
  <c r="G61" i="23" a="1"/>
  <c r="G61" i="23" s="1"/>
  <c r="G62" i="23" a="1"/>
  <c r="G62" i="23" s="1"/>
  <c r="G58" i="23" a="1"/>
  <c r="G58" i="23" s="1"/>
  <c r="G64" i="23" a="1"/>
  <c r="G64" i="23" s="1"/>
  <c r="G60" i="23" a="1"/>
  <c r="G60" i="23" s="1"/>
  <c r="R62" i="23" a="1"/>
  <c r="R62" i="23" s="1"/>
  <c r="R58" i="23" a="1"/>
  <c r="R58" i="23" s="1"/>
  <c r="R64" i="23" a="1"/>
  <c r="R64" i="23" s="1"/>
  <c r="R60" i="23" a="1"/>
  <c r="R60" i="23" s="1"/>
  <c r="R65" i="23" a="1"/>
  <c r="R65" i="23" s="1"/>
  <c r="R61" i="23" a="1"/>
  <c r="R61" i="23" s="1"/>
  <c r="R59" i="23" a="1"/>
  <c r="R59" i="23" s="1"/>
  <c r="R63" i="23" a="1"/>
  <c r="R63" i="23" s="1"/>
  <c r="V65" i="23" a="1"/>
  <c r="V65" i="23" s="1"/>
  <c r="V62" i="23" a="1"/>
  <c r="V62" i="23" s="1"/>
  <c r="V58" i="23" a="1"/>
  <c r="V58" i="23" s="1"/>
  <c r="V64" i="23" a="1"/>
  <c r="V64" i="23" s="1"/>
  <c r="V60" i="23" a="1"/>
  <c r="V60" i="23" s="1"/>
  <c r="V61" i="23" a="1"/>
  <c r="V61" i="23" s="1"/>
  <c r="V59" i="23" a="1"/>
  <c r="V59" i="23" s="1"/>
  <c r="V63" i="23" a="1"/>
  <c r="V63" i="23" s="1"/>
  <c r="I65" i="23" a="1"/>
  <c r="I65" i="23" s="1"/>
  <c r="I61" i="23" a="1"/>
  <c r="I61" i="23" s="1"/>
  <c r="I63" i="23" a="1"/>
  <c r="I63" i="23" s="1"/>
  <c r="I59" i="23" a="1"/>
  <c r="I59" i="23" s="1"/>
  <c r="I64" i="23" a="1"/>
  <c r="I64" i="23" s="1"/>
  <c r="I60" i="23" a="1"/>
  <c r="I60" i="23" s="1"/>
  <c r="I58" i="23" a="1"/>
  <c r="I58" i="23" s="1"/>
  <c r="I62" i="23" a="1"/>
  <c r="I62" i="23" s="1"/>
  <c r="Q65" i="23" a="1"/>
  <c r="Q65" i="23" s="1"/>
  <c r="Q61" i="23" a="1"/>
  <c r="Q61" i="23" s="1"/>
  <c r="Q63" i="23" a="1"/>
  <c r="Q63" i="23" s="1"/>
  <c r="Q59" i="23" a="1"/>
  <c r="Q59" i="23" s="1"/>
  <c r="Q64" i="23" a="1"/>
  <c r="Q64" i="23" s="1"/>
  <c r="Q60" i="23" a="1"/>
  <c r="Q60" i="23" s="1"/>
  <c r="Q58" i="23" a="1"/>
  <c r="Q58" i="23" s="1"/>
  <c r="Q62" i="23" a="1"/>
  <c r="Q62" i="23" s="1"/>
  <c r="O63" i="23" a="1"/>
  <c r="O63" i="23" s="1"/>
  <c r="O59" i="23" a="1"/>
  <c r="O59" i="23" s="1"/>
  <c r="O65" i="23" a="1"/>
  <c r="O65" i="23" s="1"/>
  <c r="O61" i="23" a="1"/>
  <c r="O61" i="23" s="1"/>
  <c r="O62" i="23" a="1"/>
  <c r="O62" i="23" s="1"/>
  <c r="O58" i="23" a="1"/>
  <c r="O58" i="23" s="1"/>
  <c r="O60" i="23" a="1"/>
  <c r="O60" i="23" s="1"/>
  <c r="O64" i="23" a="1"/>
  <c r="O64" i="23" s="1"/>
  <c r="B59" i="19"/>
  <c r="E65" i="23" a="1"/>
  <c r="E65" i="23" s="1"/>
  <c r="E61" i="23" a="1"/>
  <c r="E61" i="23" s="1"/>
  <c r="E63" i="23" a="1"/>
  <c r="E63" i="23" s="1"/>
  <c r="E59" i="23" a="1"/>
  <c r="E59" i="23" s="1"/>
  <c r="E64" i="23" a="1"/>
  <c r="E64" i="23" s="1"/>
  <c r="E60" i="23" a="1"/>
  <c r="E60" i="23" s="1"/>
  <c r="E62" i="23" a="1"/>
  <c r="E62" i="23" s="1"/>
  <c r="K63" i="23" a="1"/>
  <c r="K63" i="23" s="1"/>
  <c r="K59" i="23" a="1"/>
  <c r="K59" i="23" s="1"/>
  <c r="K65" i="23" a="1"/>
  <c r="K65" i="23" s="1"/>
  <c r="K61" i="23" a="1"/>
  <c r="K61" i="23" s="1"/>
  <c r="K62" i="23" a="1"/>
  <c r="K62" i="23" s="1"/>
  <c r="K58" i="23" a="1"/>
  <c r="K58" i="23" s="1"/>
  <c r="K60" i="23" a="1"/>
  <c r="K60" i="23" s="1"/>
  <c r="K64" i="23" a="1"/>
  <c r="K64" i="23" s="1"/>
  <c r="S63" i="23" a="1"/>
  <c r="S63" i="23" s="1"/>
  <c r="S59" i="23" a="1"/>
  <c r="S59" i="23" s="1"/>
  <c r="S65" i="23" a="1"/>
  <c r="S65" i="23" s="1"/>
  <c r="S61" i="23" a="1"/>
  <c r="S61" i="23" s="1"/>
  <c r="S62" i="23" a="1"/>
  <c r="S62" i="23" s="1"/>
  <c r="S58" i="23" a="1"/>
  <c r="S58" i="23" s="1"/>
  <c r="S60" i="23" a="1"/>
  <c r="S60" i="23" s="1"/>
  <c r="S64" i="23" a="1"/>
  <c r="S64" i="23" s="1"/>
  <c r="M65" i="23" a="1"/>
  <c r="M65" i="23" s="1"/>
  <c r="M61" i="23" a="1"/>
  <c r="M61" i="23" s="1"/>
  <c r="M63" i="23" a="1"/>
  <c r="M63" i="23" s="1"/>
  <c r="M59" i="23" a="1"/>
  <c r="M59" i="23" s="1"/>
  <c r="M64" i="23" a="1"/>
  <c r="M64" i="23" s="1"/>
  <c r="M60" i="23" a="1"/>
  <c r="M60" i="23" s="1"/>
  <c r="M62" i="23" a="1"/>
  <c r="M62" i="23" s="1"/>
  <c r="M58" i="23" a="1"/>
  <c r="M58" i="23" s="1"/>
  <c r="U65" i="23" a="1"/>
  <c r="U65" i="23" s="1"/>
  <c r="U61" i="23" a="1"/>
  <c r="U61" i="23" s="1"/>
  <c r="U63" i="23" a="1"/>
  <c r="U63" i="23" s="1"/>
  <c r="U59" i="23" a="1"/>
  <c r="U59" i="23" s="1"/>
  <c r="U64" i="23" a="1"/>
  <c r="U64" i="23" s="1"/>
  <c r="U60" i="23" a="1"/>
  <c r="U60" i="23" s="1"/>
  <c r="U58" i="23" a="1"/>
  <c r="U58" i="23" s="1"/>
  <c r="U62" i="23" a="1"/>
  <c r="U62" i="23" s="1"/>
  <c r="J62" i="23" a="1"/>
  <c r="J62" i="23" s="1"/>
  <c r="J58" i="23" a="1"/>
  <c r="J58" i="23" s="1"/>
  <c r="J64" i="23" a="1"/>
  <c r="J64" i="23" s="1"/>
  <c r="J60" i="23" a="1"/>
  <c r="J60" i="23" s="1"/>
  <c r="J65" i="23" a="1"/>
  <c r="J65" i="23" s="1"/>
  <c r="J61" i="23" a="1"/>
  <c r="J61" i="23" s="1"/>
  <c r="J63" i="23" a="1"/>
  <c r="J63" i="23" s="1"/>
  <c r="J59" i="23" a="1"/>
  <c r="J59" i="23" s="1"/>
  <c r="B60" i="19"/>
  <c r="B62" i="19"/>
  <c r="M64" i="19" a="1"/>
  <c r="M64" i="19" s="1"/>
  <c r="AG6" i="14"/>
  <c r="AA16" i="14" s="1"/>
  <c r="AG11" i="14"/>
  <c r="AA21" i="14" s="1"/>
  <c r="AG10" i="14"/>
  <c r="AA20" i="14" s="1"/>
  <c r="AG5" i="14"/>
  <c r="AA15" i="14" s="1"/>
  <c r="AG15" i="14" s="1"/>
  <c r="AG7" i="14"/>
  <c r="AA17" i="14" s="1"/>
  <c r="AG17" i="14" s="1"/>
  <c r="AG8" i="14"/>
  <c r="AA18" i="14" s="1"/>
  <c r="AG4" i="14"/>
  <c r="AA14" i="14" s="1"/>
  <c r="AG14" i="14" s="1"/>
  <c r="Q2" i="18"/>
  <c r="B7" i="22"/>
  <c r="Q3" i="18"/>
  <c r="B8" i="22"/>
  <c r="Q8" i="18"/>
  <c r="B13" i="22"/>
  <c r="Q9" i="18"/>
  <c r="B14" i="22"/>
  <c r="Q7" i="18"/>
  <c r="B12" i="22"/>
  <c r="R5" i="18"/>
  <c r="C10" i="22"/>
  <c r="R9" i="18"/>
  <c r="C14" i="22"/>
  <c r="Q4" i="18"/>
  <c r="B9" i="22"/>
  <c r="Q5" i="18"/>
  <c r="B10" i="22"/>
  <c r="R6" i="18"/>
  <c r="C11" i="22"/>
  <c r="R2" i="18"/>
  <c r="C7" i="22"/>
  <c r="Q6" i="18"/>
  <c r="B11" i="22"/>
  <c r="R4" i="18"/>
  <c r="C9" i="22"/>
  <c r="R7" i="18"/>
  <c r="C12" i="22"/>
  <c r="R3" i="18"/>
  <c r="C8" i="22"/>
  <c r="R8" i="18"/>
  <c r="C13" i="22"/>
  <c r="Z8" i="11"/>
  <c r="Z18" i="11" s="1"/>
  <c r="Z5" i="11"/>
  <c r="Z15" i="11" s="1"/>
  <c r="Z7" i="11"/>
  <c r="Z17" i="11" s="1"/>
  <c r="Z11" i="11"/>
  <c r="Z6" i="11"/>
  <c r="Z16" i="11" s="1"/>
  <c r="Z10" i="11"/>
  <c r="Z20" i="11" s="1"/>
  <c r="Z4" i="11"/>
  <c r="Z14" i="11" s="1"/>
  <c r="Z9" i="11"/>
  <c r="AG20" i="15"/>
  <c r="AG15" i="15"/>
  <c r="AG14" i="15"/>
  <c r="AG17" i="15"/>
  <c r="AG19" i="15"/>
  <c r="AG20" i="14"/>
  <c r="AB21" i="10"/>
  <c r="AB17" i="10"/>
  <c r="AB16" i="10"/>
  <c r="AB18" i="10"/>
  <c r="AB15" i="10"/>
  <c r="AB14" i="10"/>
  <c r="AB19" i="10"/>
  <c r="AB20" i="10"/>
  <c r="AF7" i="10"/>
  <c r="AE7" i="10"/>
  <c r="AF5" i="10"/>
  <c r="AE5" i="10"/>
  <c r="AF10" i="10"/>
  <c r="AE10" i="10"/>
  <c r="AF6" i="10"/>
  <c r="AE6" i="10"/>
  <c r="AF4" i="10"/>
  <c r="AE4" i="10"/>
  <c r="AF11" i="10"/>
  <c r="AE11" i="10"/>
  <c r="AE9" i="10"/>
  <c r="AF9" i="10"/>
  <c r="AE8" i="10"/>
  <c r="AF8" i="10"/>
  <c r="AG14" i="12" l="1"/>
  <c r="N2" i="18" s="1"/>
  <c r="AG17" i="12"/>
  <c r="D10" i="20" s="1"/>
  <c r="AG20" i="12"/>
  <c r="D13" i="20" s="1"/>
  <c r="N7" i="18"/>
  <c r="D12" i="20"/>
  <c r="N9" i="18"/>
  <c r="D14" i="20"/>
  <c r="N3" i="18"/>
  <c r="D8" i="20"/>
  <c r="N6" i="18"/>
  <c r="D11" i="20"/>
  <c r="N4" i="18"/>
  <c r="D9" i="20"/>
  <c r="AC4" i="18"/>
  <c r="D9" i="25"/>
  <c r="AC9" i="18"/>
  <c r="D14" i="25"/>
  <c r="AC5" i="18"/>
  <c r="D10" i="25"/>
  <c r="AC2" i="18"/>
  <c r="D7" i="25"/>
  <c r="AC8" i="18"/>
  <c r="D13" i="25"/>
  <c r="AC6" i="18"/>
  <c r="D11" i="25"/>
  <c r="AC7" i="18"/>
  <c r="D12" i="25"/>
  <c r="AC3" i="18"/>
  <c r="D8" i="25"/>
  <c r="AG17" i="24"/>
  <c r="D10" i="23" s="1"/>
  <c r="AG14" i="24"/>
  <c r="D7" i="23" s="1"/>
  <c r="AG18" i="24"/>
  <c r="D11" i="23" s="1"/>
  <c r="AG15" i="24"/>
  <c r="D8" i="23" s="1"/>
  <c r="AG19" i="14"/>
  <c r="S7" i="18" s="1"/>
  <c r="AG21" i="14"/>
  <c r="AG18" i="14"/>
  <c r="D11" i="22" s="1"/>
  <c r="AG16" i="14"/>
  <c r="D9" i="22" s="1"/>
  <c r="D12" i="22"/>
  <c r="S9" i="18"/>
  <c r="D14" i="22"/>
  <c r="S3" i="18"/>
  <c r="D8" i="22"/>
  <c r="S2" i="18"/>
  <c r="D7" i="22"/>
  <c r="S8" i="18"/>
  <c r="D13" i="22"/>
  <c r="S5" i="18"/>
  <c r="D10" i="22"/>
  <c r="AA5" i="11"/>
  <c r="AD5" i="11" s="1"/>
  <c r="AA6" i="11"/>
  <c r="AD6" i="11" s="1"/>
  <c r="AA9" i="11"/>
  <c r="AD9" i="11" s="1"/>
  <c r="AA11" i="11"/>
  <c r="AD11" i="11" s="1"/>
  <c r="AA7" i="11"/>
  <c r="AD7" i="11" s="1"/>
  <c r="Z19" i="11"/>
  <c r="AA10" i="11"/>
  <c r="AD10" i="11" s="1"/>
  <c r="Z21" i="11"/>
  <c r="AA4" i="11"/>
  <c r="AD4" i="11" s="1"/>
  <c r="AA8" i="11"/>
  <c r="AD8" i="11" s="1"/>
  <c r="AG11" i="10"/>
  <c r="AA21" i="10" s="1"/>
  <c r="AG6" i="10"/>
  <c r="AA16" i="10" s="1"/>
  <c r="AG5" i="10"/>
  <c r="AA15" i="10" s="1"/>
  <c r="AG4" i="10"/>
  <c r="AA14" i="10" s="1"/>
  <c r="AG10" i="10"/>
  <c r="AA20" i="10" s="1"/>
  <c r="AG7" i="10"/>
  <c r="AA17" i="10" s="1"/>
  <c r="AG8" i="10"/>
  <c r="AA18" i="10" s="1"/>
  <c r="AE15" i="10"/>
  <c r="AE18" i="10"/>
  <c r="AF18" i="10"/>
  <c r="AE14" i="10"/>
  <c r="AF16" i="10"/>
  <c r="AF19" i="10"/>
  <c r="AE21" i="10"/>
  <c r="AF20" i="10"/>
  <c r="AF14" i="10"/>
  <c r="AE17" i="10"/>
  <c r="AE20" i="10"/>
  <c r="AF21" i="10"/>
  <c r="AF15" i="10"/>
  <c r="AE19" i="10"/>
  <c r="AE16" i="10"/>
  <c r="AF17" i="10"/>
  <c r="AG9" i="10"/>
  <c r="AA19" i="10" s="1"/>
  <c r="D7" i="20" l="1"/>
  <c r="N8" i="18"/>
  <c r="N5" i="18"/>
  <c r="S6" i="18"/>
  <c r="S4" i="18"/>
  <c r="AB21" i="11"/>
  <c r="AF4" i="11"/>
  <c r="AE10" i="11"/>
  <c r="AB20" i="11"/>
  <c r="AF6" i="11"/>
  <c r="AE9" i="11"/>
  <c r="AE11" i="11"/>
  <c r="AE7" i="11"/>
  <c r="AF8" i="11"/>
  <c r="AB17" i="11"/>
  <c r="AE6" i="11"/>
  <c r="AE4" i="11"/>
  <c r="AE5" i="11"/>
  <c r="AB18" i="11"/>
  <c r="AE8" i="11"/>
  <c r="AF7" i="11"/>
  <c r="AF11" i="11"/>
  <c r="AF9" i="11"/>
  <c r="AF10" i="11"/>
  <c r="AB16" i="11"/>
  <c r="AB19" i="11"/>
  <c r="AB15" i="11"/>
  <c r="AB14" i="11"/>
  <c r="AF5" i="11"/>
  <c r="C10" i="1"/>
  <c r="C5" i="18"/>
  <c r="C14" i="1"/>
  <c r="C9" i="18"/>
  <c r="C13" i="1"/>
  <c r="C8" i="18"/>
  <c r="B7" i="1"/>
  <c r="B2" i="18"/>
  <c r="B13" i="18" s="1"/>
  <c r="B9" i="1"/>
  <c r="B4" i="18"/>
  <c r="B15" i="18" s="1"/>
  <c r="B13" i="1"/>
  <c r="B8" i="18"/>
  <c r="B19" i="18" s="1"/>
  <c r="B14" i="1"/>
  <c r="B9" i="18"/>
  <c r="B20" i="18" s="1"/>
  <c r="C11" i="1"/>
  <c r="C6" i="18"/>
  <c r="B12" i="1"/>
  <c r="B7" i="18"/>
  <c r="B18" i="18" s="1"/>
  <c r="B10" i="1"/>
  <c r="B5" i="18"/>
  <c r="B16" i="18" s="1"/>
  <c r="C12" i="1"/>
  <c r="C7" i="18"/>
  <c r="B11" i="1"/>
  <c r="B6" i="18"/>
  <c r="B17" i="18" s="1"/>
  <c r="C8" i="1"/>
  <c r="C3" i="18"/>
  <c r="C7" i="1"/>
  <c r="C2" i="18"/>
  <c r="C9" i="1"/>
  <c r="C4" i="18"/>
  <c r="B8" i="1"/>
  <c r="B3" i="18"/>
  <c r="B14" i="18" s="1"/>
  <c r="AG14" i="10"/>
  <c r="AG18" i="10"/>
  <c r="AG16" i="10"/>
  <c r="AG17" i="10"/>
  <c r="AG21" i="10"/>
  <c r="AG15" i="10"/>
  <c r="AG19" i="10"/>
  <c r="AG20" i="10"/>
  <c r="C39" i="18" l="1"/>
  <c r="N22" i="18" s="1"/>
  <c r="AA45" i="18"/>
  <c r="C34" i="18"/>
  <c r="N17" i="18" s="1"/>
  <c r="AA40" i="18"/>
  <c r="C33" i="18"/>
  <c r="N16" i="18" s="1"/>
  <c r="AA39" i="18"/>
  <c r="C36" i="18"/>
  <c r="N19" i="18" s="1"/>
  <c r="AA42" i="18"/>
  <c r="C35" i="18"/>
  <c r="N18" i="18" s="1"/>
  <c r="AA41" i="18"/>
  <c r="C38" i="18"/>
  <c r="N21" i="18" s="1"/>
  <c r="AA44" i="18"/>
  <c r="C32" i="18"/>
  <c r="N15" i="18" s="1"/>
  <c r="AA38" i="18"/>
  <c r="C37" i="18"/>
  <c r="N20" i="18" s="1"/>
  <c r="AA43" i="18"/>
  <c r="AG10" i="11"/>
  <c r="AA20" i="11" s="1"/>
  <c r="AG4" i="11"/>
  <c r="AA14" i="11" s="1"/>
  <c r="AF19" i="11"/>
  <c r="AG11" i="11"/>
  <c r="AA21" i="11" s="1"/>
  <c r="AG9" i="11"/>
  <c r="AA19" i="11" s="1"/>
  <c r="AG5" i="11"/>
  <c r="AA15" i="11" s="1"/>
  <c r="AG21" i="11" s="1"/>
  <c r="AF15" i="11"/>
  <c r="AG8" i="11"/>
  <c r="AA18" i="11" s="1"/>
  <c r="AG6" i="11"/>
  <c r="AA16" i="11" s="1"/>
  <c r="AE19" i="11"/>
  <c r="AG7" i="11"/>
  <c r="AA17" i="11" s="1"/>
  <c r="AF18" i="11"/>
  <c r="AE15" i="11"/>
  <c r="AE14" i="11"/>
  <c r="AE20" i="11"/>
  <c r="AF16" i="11"/>
  <c r="AF14" i="11"/>
  <c r="AE16" i="11"/>
  <c r="AE18" i="11"/>
  <c r="AF21" i="11"/>
  <c r="AE17" i="11"/>
  <c r="AE21" i="11"/>
  <c r="AF20" i="11"/>
  <c r="AF17" i="11"/>
  <c r="E17" i="18"/>
  <c r="AD42" i="18" s="1"/>
  <c r="F17" i="18"/>
  <c r="AE42" i="18" s="1"/>
  <c r="G17" i="18"/>
  <c r="AF42" i="18" s="1"/>
  <c r="B26" i="18"/>
  <c r="H17" i="18"/>
  <c r="AG42" i="18" s="1"/>
  <c r="D14" i="1"/>
  <c r="D9" i="18"/>
  <c r="C20" i="18" s="1"/>
  <c r="B23" i="18"/>
  <c r="E14" i="18"/>
  <c r="AD39" i="18" s="1"/>
  <c r="G14" i="18"/>
  <c r="AF39" i="18" s="1"/>
  <c r="H14" i="18"/>
  <c r="AG39" i="18" s="1"/>
  <c r="F14" i="18"/>
  <c r="AE39" i="18" s="1"/>
  <c r="E16" i="18"/>
  <c r="AD41" i="18" s="1"/>
  <c r="B25" i="18"/>
  <c r="G16" i="18"/>
  <c r="AF41" i="18" s="1"/>
  <c r="F16" i="18"/>
  <c r="AE41" i="18" s="1"/>
  <c r="H16" i="18"/>
  <c r="AG41" i="18" s="1"/>
  <c r="E19" i="18"/>
  <c r="AD44" i="18" s="1"/>
  <c r="B28" i="18"/>
  <c r="G19" i="18"/>
  <c r="AF44" i="18" s="1"/>
  <c r="F19" i="18"/>
  <c r="AE44" i="18" s="1"/>
  <c r="H19" i="18"/>
  <c r="AG44" i="18" s="1"/>
  <c r="H13" i="18"/>
  <c r="AG38" i="18" s="1"/>
  <c r="F13" i="18"/>
  <c r="AE38" i="18" s="1"/>
  <c r="B22" i="18"/>
  <c r="E13" i="18"/>
  <c r="AD38" i="18" s="1"/>
  <c r="G13" i="18"/>
  <c r="AF38" i="18" s="1"/>
  <c r="D13" i="1"/>
  <c r="D8" i="18"/>
  <c r="C19" i="18" s="1"/>
  <c r="D10" i="1"/>
  <c r="D5" i="18"/>
  <c r="C16" i="18" s="1"/>
  <c r="D7" i="1"/>
  <c r="D2" i="18"/>
  <c r="C13" i="18" s="1"/>
  <c r="D12" i="1"/>
  <c r="D7" i="18"/>
  <c r="C18" i="18" s="1"/>
  <c r="D9" i="1"/>
  <c r="D4" i="18"/>
  <c r="C15" i="18" s="1"/>
  <c r="B27" i="18"/>
  <c r="E18" i="18"/>
  <c r="AD43" i="18" s="1"/>
  <c r="G18" i="18"/>
  <c r="AF43" i="18" s="1"/>
  <c r="H18" i="18"/>
  <c r="AG43" i="18" s="1"/>
  <c r="F18" i="18"/>
  <c r="AE43" i="18" s="1"/>
  <c r="E20" i="18"/>
  <c r="AD45" i="18" s="1"/>
  <c r="F20" i="18"/>
  <c r="AE45" i="18" s="1"/>
  <c r="B29" i="18"/>
  <c r="G20" i="18"/>
  <c r="AF45" i="18" s="1"/>
  <c r="H20" i="18"/>
  <c r="AG45" i="18" s="1"/>
  <c r="E15" i="18"/>
  <c r="AD40" i="18" s="1"/>
  <c r="F15" i="18"/>
  <c r="AE40" i="18" s="1"/>
  <c r="G15" i="18"/>
  <c r="AF40" i="18" s="1"/>
  <c r="B24" i="18"/>
  <c r="H15" i="18"/>
  <c r="AG40" i="18" s="1"/>
  <c r="D8" i="1"/>
  <c r="D3" i="18"/>
  <c r="C14" i="18" s="1"/>
  <c r="D11" i="1"/>
  <c r="D6" i="18"/>
  <c r="C17" i="18" s="1"/>
  <c r="C46" i="18" l="1"/>
  <c r="O20" i="18" s="1"/>
  <c r="AB43" i="18"/>
  <c r="C48" i="18"/>
  <c r="O22" i="18" s="1"/>
  <c r="AB45" i="18"/>
  <c r="C45" i="18"/>
  <c r="O19" i="18" s="1"/>
  <c r="AB42" i="18"/>
  <c r="C44" i="18"/>
  <c r="O18" i="18" s="1"/>
  <c r="AB41" i="18"/>
  <c r="C42" i="18"/>
  <c r="O16" i="18" s="1"/>
  <c r="AB39" i="18"/>
  <c r="C43" i="18"/>
  <c r="O17" i="18" s="1"/>
  <c r="AB40" i="18"/>
  <c r="C41" i="18"/>
  <c r="O15" i="18" s="1"/>
  <c r="AB38" i="18"/>
  <c r="C47" i="18"/>
  <c r="O21" i="18" s="1"/>
  <c r="AB44" i="18"/>
  <c r="H5" i="18"/>
  <c r="H9" i="18"/>
  <c r="C9" i="19"/>
  <c r="C11" i="19"/>
  <c r="C13" i="19"/>
  <c r="G6" i="18"/>
  <c r="B13" i="19"/>
  <c r="C8" i="19"/>
  <c r="H7" i="18"/>
  <c r="G4" i="18"/>
  <c r="B14" i="19"/>
  <c r="B7" i="19"/>
  <c r="G7" i="18"/>
  <c r="B10" i="19"/>
  <c r="C7" i="19"/>
  <c r="G3" i="18"/>
  <c r="AG20" i="11"/>
  <c r="D13" i="19" s="1"/>
  <c r="AG18" i="11"/>
  <c r="AG19" i="11"/>
  <c r="AG14" i="11"/>
  <c r="D7" i="19" s="1"/>
  <c r="AG15" i="11"/>
  <c r="AG16" i="11"/>
  <c r="C12" i="19"/>
  <c r="AG17" i="11"/>
  <c r="H6" i="18"/>
  <c r="H3" i="18"/>
  <c r="G8" i="18"/>
  <c r="H2" i="18"/>
  <c r="B8" i="19"/>
  <c r="H4" i="18"/>
  <c r="C14" i="19"/>
  <c r="C10" i="19"/>
  <c r="H8" i="18"/>
  <c r="G2" i="18"/>
  <c r="G5" i="18"/>
  <c r="B12" i="19"/>
  <c r="B11" i="19"/>
  <c r="G9" i="18"/>
  <c r="B9" i="19"/>
  <c r="I9" i="18"/>
  <c r="D14" i="19"/>
  <c r="U8" i="10"/>
  <c r="U9" i="10"/>
  <c r="U10" i="10"/>
  <c r="U11" i="10"/>
  <c r="W30" i="1" s="1"/>
  <c r="U12" i="10"/>
  <c r="W31" i="1" s="1"/>
  <c r="U13" i="10"/>
  <c r="U14" i="10"/>
  <c r="U7" i="10"/>
  <c r="N32" i="18" l="1"/>
  <c r="O32" i="18" s="1"/>
  <c r="M21" i="18" s="1"/>
  <c r="N27" i="18"/>
  <c r="O27" i="18" s="1"/>
  <c r="M16" i="18" s="1"/>
  <c r="N29" i="18"/>
  <c r="O29" i="18" s="1"/>
  <c r="M18" i="18" s="1"/>
  <c r="N31" i="18"/>
  <c r="O31" i="18" s="1"/>
  <c r="M20" i="18" s="1"/>
  <c r="N33" i="18"/>
  <c r="O33" i="18" s="1"/>
  <c r="M22" i="18" s="1"/>
  <c r="N28" i="18"/>
  <c r="O28" i="18" s="1"/>
  <c r="M17" i="18" s="1"/>
  <c r="N30" i="18"/>
  <c r="O30" i="18" s="1"/>
  <c r="M19" i="18" s="1"/>
  <c r="N26" i="18"/>
  <c r="O26" i="18" s="1"/>
  <c r="M15" i="18" s="1"/>
  <c r="I8" i="18"/>
  <c r="D10" i="19"/>
  <c r="I2" i="18"/>
  <c r="I7" i="18"/>
  <c r="D9" i="19"/>
  <c r="I6" i="18"/>
  <c r="D15" i="18" s="1"/>
  <c r="D8" i="19"/>
  <c r="W33" i="1"/>
  <c r="W32" i="1"/>
  <c r="W29" i="1"/>
  <c r="W28" i="1"/>
  <c r="W27" i="1"/>
  <c r="W26" i="1"/>
  <c r="D12" i="19"/>
  <c r="D11" i="19"/>
  <c r="I3" i="18"/>
  <c r="I4" i="18"/>
  <c r="I5" i="18"/>
  <c r="D13" i="18"/>
  <c r="D14" i="18"/>
  <c r="D19" i="18" l="1"/>
  <c r="D18" i="18"/>
  <c r="AC43" i="18" s="1"/>
  <c r="D16" i="18"/>
  <c r="D25" i="18" s="1"/>
  <c r="F23" i="18"/>
  <c r="AC39" i="18"/>
  <c r="H22" i="18"/>
  <c r="AC38" i="18"/>
  <c r="I16" i="18"/>
  <c r="AH41" i="18" s="1"/>
  <c r="AC41" i="18"/>
  <c r="D24" i="18"/>
  <c r="AC40" i="18"/>
  <c r="D28" i="18"/>
  <c r="AC44" i="18"/>
  <c r="D17" i="18"/>
  <c r="D20" i="18"/>
  <c r="E25" i="18"/>
  <c r="G28" i="18"/>
  <c r="H24" i="18"/>
  <c r="F25" i="18"/>
  <c r="I15" i="18"/>
  <c r="AH40" i="18" s="1"/>
  <c r="G25" i="18"/>
  <c r="E23" i="18"/>
  <c r="G23" i="18"/>
  <c r="F27" i="18"/>
  <c r="H27" i="18"/>
  <c r="F24" i="18"/>
  <c r="E22" i="18"/>
  <c r="G22" i="18"/>
  <c r="E24" i="18"/>
  <c r="D22" i="18"/>
  <c r="F22" i="18"/>
  <c r="I13" i="18"/>
  <c r="AH38" i="18" s="1"/>
  <c r="G24" i="18"/>
  <c r="E28" i="18"/>
  <c r="H28" i="18"/>
  <c r="I19" i="18"/>
  <c r="AH44" i="18" s="1"/>
  <c r="F28" i="18"/>
  <c r="H23" i="18"/>
  <c r="D23" i="18"/>
  <c r="I14" i="18"/>
  <c r="AH39" i="18" s="1"/>
  <c r="D27" i="18" l="1"/>
  <c r="E27" i="18"/>
  <c r="G27" i="18"/>
  <c r="I18" i="18"/>
  <c r="AH43" i="18" s="1"/>
  <c r="H25" i="18"/>
  <c r="D26" i="18"/>
  <c r="AC42" i="18"/>
  <c r="E29" i="18"/>
  <c r="AC45" i="18"/>
  <c r="H26" i="18"/>
  <c r="G29" i="18"/>
  <c r="D29" i="18"/>
  <c r="I17" i="18"/>
  <c r="AH42" i="18" s="1"/>
  <c r="F26" i="18"/>
  <c r="E26" i="18"/>
  <c r="I20" i="18"/>
  <c r="AH45" i="18" s="1"/>
  <c r="H29" i="18"/>
  <c r="F29" i="18"/>
  <c r="G26" i="18"/>
  <c r="G36" i="18" l="1" a="1"/>
  <c r="G36" i="18" s="1"/>
  <c r="G45" i="18" s="1"/>
  <c r="AI19" i="18" s="1"/>
  <c r="H35" i="18" a="1"/>
  <c r="H35" i="18" s="1"/>
  <c r="H44" i="18" s="1"/>
  <c r="AN18" i="18" s="1"/>
  <c r="Z86" i="18" s="1"/>
  <c r="J77" i="25" s="1"/>
  <c r="D39" i="18" a="1"/>
  <c r="D39" i="18" s="1"/>
  <c r="D48" i="18" s="1"/>
  <c r="T22" i="18" s="1"/>
  <c r="V46" i="18" s="1"/>
  <c r="F81" i="19" s="1"/>
  <c r="E34" i="18" a="1"/>
  <c r="E34" i="18" s="1"/>
  <c r="E43" i="18" s="1"/>
  <c r="Y17" i="18" s="1"/>
  <c r="W52" i="18" s="1"/>
  <c r="G76" i="20" s="1"/>
  <c r="D32" i="18" a="1"/>
  <c r="D32" i="18" s="1"/>
  <c r="S15" i="18" s="1"/>
  <c r="D35" i="18" a="1"/>
  <c r="D35" i="18" s="1"/>
  <c r="D44" i="18" s="1"/>
  <c r="T18" i="18" s="1"/>
  <c r="D37" i="18" a="1"/>
  <c r="D37" i="18" s="1"/>
  <c r="S20" i="18" s="1"/>
  <c r="D34" i="18" a="1"/>
  <c r="D34" i="18" s="1"/>
  <c r="S17" i="18" s="1"/>
  <c r="D33" i="18" a="1"/>
  <c r="D33" i="18" s="1"/>
  <c r="D42" i="18" s="1"/>
  <c r="T16" i="18" s="1"/>
  <c r="D36" i="18" a="1"/>
  <c r="D36" i="18" s="1"/>
  <c r="D45" i="18" s="1"/>
  <c r="T19" i="18" s="1"/>
  <c r="D38" i="18" a="1"/>
  <c r="D38" i="18" s="1"/>
  <c r="S21" i="18" s="1"/>
  <c r="F34" i="18" a="1"/>
  <c r="F34" i="18" s="1"/>
  <c r="F43" i="18" s="1"/>
  <c r="AD17" i="18" s="1"/>
  <c r="F38" i="18" a="1"/>
  <c r="F38" i="18" s="1"/>
  <c r="F47" i="18" s="1"/>
  <c r="AD21" i="18" s="1"/>
  <c r="F35" i="18" a="1"/>
  <c r="F35" i="18" s="1"/>
  <c r="F44" i="18" s="1"/>
  <c r="AD18" i="18" s="1"/>
  <c r="F32" i="18" a="1"/>
  <c r="F32" i="18" s="1"/>
  <c r="AC15" i="18" s="1"/>
  <c r="S61" i="18" s="1"/>
  <c r="F39" i="18" a="1"/>
  <c r="F39" i="18" s="1"/>
  <c r="AC22" i="18" s="1"/>
  <c r="S68" i="18" s="1"/>
  <c r="F37" i="18" a="1"/>
  <c r="F37" i="18" s="1"/>
  <c r="AC20" i="18" s="1"/>
  <c r="S66" i="18" s="1"/>
  <c r="F36" i="18" a="1"/>
  <c r="F36" i="18" s="1"/>
  <c r="AC19" i="18" s="1"/>
  <c r="S65" i="18" s="1"/>
  <c r="F33" i="18" a="1"/>
  <c r="F33" i="18" s="1"/>
  <c r="AC16" i="18" s="1"/>
  <c r="S62" i="18" s="1"/>
  <c r="E36" i="18" a="1"/>
  <c r="E36" i="18" s="1"/>
  <c r="X19" i="18" s="1"/>
  <c r="S54" i="18" s="1"/>
  <c r="E33" i="18" a="1"/>
  <c r="E33" i="18" s="1"/>
  <c r="X16" i="18" s="1"/>
  <c r="S51" i="18" s="1"/>
  <c r="E38" i="18" a="1"/>
  <c r="E38" i="18" s="1"/>
  <c r="E47" i="18" s="1"/>
  <c r="Y21" i="18" s="1"/>
  <c r="E35" i="18" a="1"/>
  <c r="E35" i="18" s="1"/>
  <c r="E44" i="18" s="1"/>
  <c r="Y18" i="18" s="1"/>
  <c r="E37" i="18" a="1"/>
  <c r="E37" i="18" s="1"/>
  <c r="X20" i="18" s="1"/>
  <c r="S55" i="18" s="1"/>
  <c r="E39" i="18" a="1"/>
  <c r="E39" i="18" s="1"/>
  <c r="E48" i="18" s="1"/>
  <c r="Y22" i="18" s="1"/>
  <c r="E32" i="18" a="1"/>
  <c r="E32" i="18" s="1"/>
  <c r="X15" i="18" s="1"/>
  <c r="S50" i="18" s="1"/>
  <c r="H38" i="18" a="1"/>
  <c r="H38" i="18" s="1"/>
  <c r="H47" i="18" s="1"/>
  <c r="AN21" i="18" s="1"/>
  <c r="G37" i="18" a="1"/>
  <c r="G37" i="18" s="1"/>
  <c r="AH20" i="18" s="1"/>
  <c r="S77" i="18" s="1"/>
  <c r="G32" i="18" a="1"/>
  <c r="G32" i="18" s="1"/>
  <c r="G41" i="18" s="1"/>
  <c r="AI15" i="18" s="1"/>
  <c r="H36" i="18" a="1"/>
  <c r="H36" i="18" s="1"/>
  <c r="AM19" i="18" s="1"/>
  <c r="S87" i="18" s="1"/>
  <c r="C78" i="25" s="1"/>
  <c r="H33" i="18" a="1"/>
  <c r="H33" i="18" s="1"/>
  <c r="H42" i="18" s="1"/>
  <c r="AN16" i="18" s="1"/>
  <c r="H34" i="18" a="1"/>
  <c r="H34" i="18" s="1"/>
  <c r="H43" i="18" s="1"/>
  <c r="AN17" i="18" s="1"/>
  <c r="H32" i="18" a="1"/>
  <c r="H32" i="18" s="1"/>
  <c r="H41" i="18" s="1"/>
  <c r="AN15" i="18" s="1"/>
  <c r="H37" i="18" a="1"/>
  <c r="H37" i="18" s="1"/>
  <c r="AM20" i="18" s="1"/>
  <c r="S88" i="18" s="1"/>
  <c r="C79" i="25" s="1"/>
  <c r="H39" i="18" a="1"/>
  <c r="H39" i="18" s="1"/>
  <c r="AM22" i="18" s="1"/>
  <c r="S90" i="18" s="1"/>
  <c r="C81" i="25" s="1"/>
  <c r="G38" i="18" a="1"/>
  <c r="G38" i="18" s="1"/>
  <c r="G47" i="18" s="1"/>
  <c r="AI21" i="18" s="1"/>
  <c r="G34" i="18" a="1"/>
  <c r="G34" i="18" s="1"/>
  <c r="G43" i="18" s="1"/>
  <c r="AI17" i="18" s="1"/>
  <c r="G33" i="18" a="1"/>
  <c r="G33" i="18" s="1"/>
  <c r="AH16" i="18" s="1"/>
  <c r="S73" i="18" s="1"/>
  <c r="G35" i="18" a="1"/>
  <c r="G35" i="18" s="1"/>
  <c r="AH18" i="18" s="1"/>
  <c r="S75" i="18" s="1"/>
  <c r="G39" i="18" a="1"/>
  <c r="G39" i="18" s="1"/>
  <c r="AH22" i="18" s="1"/>
  <c r="S79" i="18" s="1"/>
  <c r="X17" i="18" l="1"/>
  <c r="S52" i="18" s="1"/>
  <c r="AM18" i="18"/>
  <c r="S86" i="18" s="1"/>
  <c r="C77" i="25" s="1"/>
  <c r="AH19" i="18"/>
  <c r="S76" i="18" s="1"/>
  <c r="V76" i="18" s="1"/>
  <c r="F78" i="23" s="1"/>
  <c r="S22" i="18"/>
  <c r="U22" i="18" s="1"/>
  <c r="R46" i="18" s="1"/>
  <c r="B81" i="19" s="1"/>
  <c r="C77" i="23"/>
  <c r="T75" i="18"/>
  <c r="D77" i="23" s="1"/>
  <c r="X75" i="18"/>
  <c r="H77" i="23" s="1"/>
  <c r="V75" i="18"/>
  <c r="F77" i="23" s="1"/>
  <c r="U75" i="18"/>
  <c r="E77" i="23" s="1"/>
  <c r="W75" i="18"/>
  <c r="G77" i="23" s="1"/>
  <c r="V66" i="18"/>
  <c r="F79" i="22" s="1"/>
  <c r="T66" i="18"/>
  <c r="D79" i="22" s="1"/>
  <c r="U66" i="18"/>
  <c r="E79" i="22" s="1"/>
  <c r="W66" i="18"/>
  <c r="G79" i="22" s="1"/>
  <c r="C79" i="22"/>
  <c r="C79" i="23"/>
  <c r="V77" i="18"/>
  <c r="F79" i="23" s="1"/>
  <c r="T77" i="18"/>
  <c r="D79" i="23" s="1"/>
  <c r="X77" i="18"/>
  <c r="H79" i="23" s="1"/>
  <c r="U77" i="18"/>
  <c r="E79" i="23" s="1"/>
  <c r="W77" i="18"/>
  <c r="G79" i="23" s="1"/>
  <c r="C78" i="20"/>
  <c r="U54" i="18"/>
  <c r="E78" i="20" s="1"/>
  <c r="V54" i="18"/>
  <c r="F78" i="20" s="1"/>
  <c r="T54" i="18"/>
  <c r="D78" i="20" s="1"/>
  <c r="V68" i="18"/>
  <c r="F81" i="22" s="1"/>
  <c r="T68" i="18"/>
  <c r="D81" i="22" s="1"/>
  <c r="U68" i="18"/>
  <c r="E81" i="22" s="1"/>
  <c r="C81" i="22"/>
  <c r="W68" i="18"/>
  <c r="G81" i="22" s="1"/>
  <c r="V90" i="18"/>
  <c r="F81" i="25" s="1"/>
  <c r="T90" i="18"/>
  <c r="D81" i="25" s="1"/>
  <c r="X90" i="18"/>
  <c r="H81" i="25" s="1"/>
  <c r="Y90" i="18"/>
  <c r="I81" i="25" s="1"/>
  <c r="U90" i="18"/>
  <c r="E81" i="25" s="1"/>
  <c r="W90" i="18"/>
  <c r="G81" i="25" s="1"/>
  <c r="V62" i="18"/>
  <c r="F75" i="22" s="1"/>
  <c r="T62" i="18"/>
  <c r="D75" i="22" s="1"/>
  <c r="C75" i="22"/>
  <c r="U62" i="18"/>
  <c r="E75" i="22" s="1"/>
  <c r="W62" i="18"/>
  <c r="G75" i="22" s="1"/>
  <c r="C74" i="22"/>
  <c r="U61" i="18"/>
  <c r="E74" i="22" s="1"/>
  <c r="W61" i="18"/>
  <c r="G74" i="22" s="1"/>
  <c r="V61" i="18"/>
  <c r="F74" i="22" s="1"/>
  <c r="T61" i="18"/>
  <c r="D74" i="22" s="1"/>
  <c r="T51" i="18"/>
  <c r="D75" i="20" s="1"/>
  <c r="C75" i="20"/>
  <c r="V51" i="18"/>
  <c r="F75" i="20" s="1"/>
  <c r="U51" i="18"/>
  <c r="E75" i="20" s="1"/>
  <c r="C76" i="20"/>
  <c r="U52" i="18"/>
  <c r="E76" i="20" s="1"/>
  <c r="V52" i="18"/>
  <c r="F76" i="20" s="1"/>
  <c r="T52" i="18"/>
  <c r="D76" i="20" s="1"/>
  <c r="C79" i="20"/>
  <c r="V55" i="18"/>
  <c r="F79" i="20" s="1"/>
  <c r="U55" i="18"/>
  <c r="E79" i="20" s="1"/>
  <c r="T55" i="18"/>
  <c r="D79" i="20" s="1"/>
  <c r="C81" i="23"/>
  <c r="T79" i="18"/>
  <c r="D81" i="23" s="1"/>
  <c r="X79" i="18"/>
  <c r="H81" i="23" s="1"/>
  <c r="V79" i="18"/>
  <c r="F81" i="23" s="1"/>
  <c r="W79" i="18"/>
  <c r="G81" i="23" s="1"/>
  <c r="U79" i="18"/>
  <c r="E81" i="23" s="1"/>
  <c r="C75" i="23"/>
  <c r="V73" i="18"/>
  <c r="F75" i="23" s="1"/>
  <c r="T73" i="18"/>
  <c r="D75" i="23" s="1"/>
  <c r="X73" i="18"/>
  <c r="H75" i="23" s="1"/>
  <c r="U73" i="18"/>
  <c r="E75" i="23" s="1"/>
  <c r="W73" i="18"/>
  <c r="G75" i="23" s="1"/>
  <c r="V88" i="18"/>
  <c r="F79" i="25" s="1"/>
  <c r="T88" i="18"/>
  <c r="D79" i="25" s="1"/>
  <c r="X88" i="18"/>
  <c r="H79" i="25" s="1"/>
  <c r="U88" i="18"/>
  <c r="E79" i="25" s="1"/>
  <c r="W88" i="18"/>
  <c r="G79" i="25" s="1"/>
  <c r="Y88" i="18"/>
  <c r="I79" i="25" s="1"/>
  <c r="T87" i="18"/>
  <c r="D78" i="25" s="1"/>
  <c r="X87" i="18"/>
  <c r="H78" i="25" s="1"/>
  <c r="V87" i="18"/>
  <c r="F78" i="25" s="1"/>
  <c r="U87" i="18"/>
  <c r="E78" i="25" s="1"/>
  <c r="W87" i="18"/>
  <c r="G78" i="25" s="1"/>
  <c r="Y87" i="18"/>
  <c r="I78" i="25" s="1"/>
  <c r="C74" i="20"/>
  <c r="U50" i="18"/>
  <c r="E74" i="20" s="1"/>
  <c r="T50" i="18"/>
  <c r="D74" i="20" s="1"/>
  <c r="V50" i="18"/>
  <c r="F74" i="20" s="1"/>
  <c r="C78" i="22"/>
  <c r="V65" i="18"/>
  <c r="F78" i="22" s="1"/>
  <c r="T65" i="18"/>
  <c r="D78" i="22" s="1"/>
  <c r="U65" i="18"/>
  <c r="E78" i="22" s="1"/>
  <c r="W65" i="18"/>
  <c r="G78" i="22" s="1"/>
  <c r="D41" i="18"/>
  <c r="T15" i="18" s="1"/>
  <c r="V39" i="18" s="1"/>
  <c r="F74" i="19" s="1"/>
  <c r="W56" i="18"/>
  <c r="G80" i="20" s="1"/>
  <c r="V42" i="18"/>
  <c r="F77" i="19" s="1"/>
  <c r="Z83" i="18"/>
  <c r="J74" i="25" s="1"/>
  <c r="Y72" i="18"/>
  <c r="I74" i="23" s="1"/>
  <c r="W57" i="18"/>
  <c r="G81" i="20" s="1"/>
  <c r="X67" i="18"/>
  <c r="H80" i="22" s="1"/>
  <c r="V40" i="18"/>
  <c r="F75" i="19" s="1"/>
  <c r="X64" i="18"/>
  <c r="H77" i="22" s="1"/>
  <c r="Y74" i="18"/>
  <c r="I76" i="23" s="1"/>
  <c r="Z85" i="18"/>
  <c r="J76" i="25" s="1"/>
  <c r="X63" i="18"/>
  <c r="H76" i="22" s="1"/>
  <c r="V43" i="18"/>
  <c r="F78" i="19" s="1"/>
  <c r="Y78" i="18"/>
  <c r="I80" i="23" s="1"/>
  <c r="Y76" i="18"/>
  <c r="I78" i="23" s="1"/>
  <c r="Z84" i="18"/>
  <c r="J75" i="25" s="1"/>
  <c r="Z89" i="18"/>
  <c r="J80" i="25" s="1"/>
  <c r="W53" i="18"/>
  <c r="G77" i="20" s="1"/>
  <c r="U17" i="18"/>
  <c r="R41" i="18" s="1"/>
  <c r="B76" i="19" s="1"/>
  <c r="S41" i="18"/>
  <c r="U21" i="18"/>
  <c r="R45" i="18" s="1"/>
  <c r="B80" i="19" s="1"/>
  <c r="S45" i="18"/>
  <c r="U20" i="18"/>
  <c r="R44" i="18" s="1"/>
  <c r="B79" i="19" s="1"/>
  <c r="S44" i="18"/>
  <c r="U15" i="18"/>
  <c r="R39" i="18" s="1"/>
  <c r="B74" i="19" s="1"/>
  <c r="S39" i="18"/>
  <c r="S18" i="18"/>
  <c r="S16" i="18"/>
  <c r="Z15" i="18" s="1"/>
  <c r="R50" i="18" s="1"/>
  <c r="B74" i="20" s="1"/>
  <c r="S19" i="18"/>
  <c r="D43" i="18"/>
  <c r="T17" i="18" s="1"/>
  <c r="F41" i="18"/>
  <c r="AD15" i="18" s="1"/>
  <c r="AC17" i="18"/>
  <c r="D47" i="18"/>
  <c r="T21" i="18" s="1"/>
  <c r="D46" i="18"/>
  <c r="T20" i="18" s="1"/>
  <c r="AC18" i="18"/>
  <c r="S64" i="18" s="1"/>
  <c r="F48" i="18"/>
  <c r="AD22" i="18" s="1"/>
  <c r="F45" i="18"/>
  <c r="AD19" i="18" s="1"/>
  <c r="F46" i="18"/>
  <c r="AD20" i="18" s="1"/>
  <c r="AC21" i="18"/>
  <c r="S67" i="18" s="1"/>
  <c r="E46" i="18"/>
  <c r="Y20" i="18" s="1"/>
  <c r="E45" i="18"/>
  <c r="Y19" i="18" s="1"/>
  <c r="F42" i="18"/>
  <c r="AD16" i="18" s="1"/>
  <c r="AE16" i="18"/>
  <c r="R62" i="18" s="1"/>
  <c r="B75" i="22" s="1"/>
  <c r="AM15" i="18"/>
  <c r="S83" i="18" s="1"/>
  <c r="C74" i="25" s="1"/>
  <c r="E41" i="18"/>
  <c r="Y15" i="18" s="1"/>
  <c r="X22" i="18"/>
  <c r="S57" i="18" s="1"/>
  <c r="X21" i="18"/>
  <c r="S56" i="18" s="1"/>
  <c r="AE15" i="18"/>
  <c r="R61" i="18" s="1"/>
  <c r="B74" i="22" s="1"/>
  <c r="AH15" i="18"/>
  <c r="S72" i="18" s="1"/>
  <c r="E42" i="18"/>
  <c r="Y16" i="18" s="1"/>
  <c r="X18" i="18"/>
  <c r="S53" i="18" s="1"/>
  <c r="AM21" i="18"/>
  <c r="S89" i="18" s="1"/>
  <c r="C80" i="25" s="1"/>
  <c r="G46" i="18"/>
  <c r="AI20" i="18" s="1"/>
  <c r="H48" i="18"/>
  <c r="AN22" i="18" s="1"/>
  <c r="AM17" i="18"/>
  <c r="S85" i="18" s="1"/>
  <c r="C76" i="25" s="1"/>
  <c r="AH21" i="18"/>
  <c r="S78" i="18" s="1"/>
  <c r="H45" i="18"/>
  <c r="AN19" i="18" s="1"/>
  <c r="AH17" i="18"/>
  <c r="S74" i="18" s="1"/>
  <c r="AM16" i="18"/>
  <c r="S84" i="18" s="1"/>
  <c r="C75" i="25" s="1"/>
  <c r="H46" i="18"/>
  <c r="AN20" i="18" s="1"/>
  <c r="G42" i="18"/>
  <c r="AI16" i="18" s="1"/>
  <c r="G44" i="18"/>
  <c r="AI18" i="18" s="1"/>
  <c r="G48" i="18"/>
  <c r="AI22" i="18" s="1"/>
  <c r="Y86" i="18" l="1"/>
  <c r="I77" i="25" s="1"/>
  <c r="U86" i="18"/>
  <c r="E77" i="25" s="1"/>
  <c r="T86" i="18"/>
  <c r="D77" i="25" s="1"/>
  <c r="W86" i="18"/>
  <c r="G77" i="25" s="1"/>
  <c r="V86" i="18"/>
  <c r="F77" i="25" s="1"/>
  <c r="X86" i="18"/>
  <c r="H77" i="25" s="1"/>
  <c r="W76" i="18"/>
  <c r="G78" i="23" s="1"/>
  <c r="X76" i="18"/>
  <c r="H78" i="23" s="1"/>
  <c r="U76" i="18"/>
  <c r="E78" i="23" s="1"/>
  <c r="S46" i="18"/>
  <c r="C81" i="19" s="1"/>
  <c r="T76" i="18"/>
  <c r="D78" i="23" s="1"/>
  <c r="C78" i="23"/>
  <c r="C79" i="19"/>
  <c r="T44" i="18"/>
  <c r="D79" i="19" s="1"/>
  <c r="U44" i="18"/>
  <c r="E79" i="19" s="1"/>
  <c r="Y83" i="18"/>
  <c r="I74" i="25" s="1"/>
  <c r="U83" i="18"/>
  <c r="E74" i="25" s="1"/>
  <c r="W83" i="18"/>
  <c r="G74" i="25" s="1"/>
  <c r="T83" i="18"/>
  <c r="D74" i="25" s="1"/>
  <c r="X83" i="18"/>
  <c r="H74" i="25" s="1"/>
  <c r="V83" i="18"/>
  <c r="F74" i="25" s="1"/>
  <c r="V84" i="18"/>
  <c r="F75" i="25" s="1"/>
  <c r="T84" i="18"/>
  <c r="D75" i="25" s="1"/>
  <c r="X84" i="18"/>
  <c r="H75" i="25" s="1"/>
  <c r="U84" i="18"/>
  <c r="E75" i="25" s="1"/>
  <c r="W84" i="18"/>
  <c r="G75" i="25" s="1"/>
  <c r="Y84" i="18"/>
  <c r="I75" i="25" s="1"/>
  <c r="T85" i="18"/>
  <c r="D76" i="25" s="1"/>
  <c r="X85" i="18"/>
  <c r="H76" i="25" s="1"/>
  <c r="V85" i="18"/>
  <c r="F76" i="25" s="1"/>
  <c r="W85" i="18"/>
  <c r="G76" i="25" s="1"/>
  <c r="Y85" i="18"/>
  <c r="I76" i="25" s="1"/>
  <c r="U85" i="18"/>
  <c r="E76" i="25" s="1"/>
  <c r="C77" i="20"/>
  <c r="T53" i="18"/>
  <c r="D77" i="20" s="1"/>
  <c r="U53" i="18"/>
  <c r="E77" i="20" s="1"/>
  <c r="V53" i="18"/>
  <c r="F77" i="20" s="1"/>
  <c r="C80" i="20"/>
  <c r="T56" i="18"/>
  <c r="D80" i="20" s="1"/>
  <c r="U56" i="18"/>
  <c r="E80" i="20" s="1"/>
  <c r="V56" i="18"/>
  <c r="F80" i="20" s="1"/>
  <c r="V67" i="18"/>
  <c r="F80" i="22" s="1"/>
  <c r="C80" i="22"/>
  <c r="T67" i="18"/>
  <c r="D80" i="22" s="1"/>
  <c r="W67" i="18"/>
  <c r="G80" i="22" s="1"/>
  <c r="U67" i="18"/>
  <c r="E80" i="22" s="1"/>
  <c r="C80" i="19"/>
  <c r="U45" i="18"/>
  <c r="E80" i="19" s="1"/>
  <c r="T45" i="18"/>
  <c r="D80" i="19" s="1"/>
  <c r="C74" i="23"/>
  <c r="V72" i="18"/>
  <c r="F74" i="23" s="1"/>
  <c r="T72" i="18"/>
  <c r="D74" i="23" s="1"/>
  <c r="X72" i="18"/>
  <c r="H74" i="23" s="1"/>
  <c r="W72" i="18"/>
  <c r="G74" i="23" s="1"/>
  <c r="U72" i="18"/>
  <c r="E74" i="23" s="1"/>
  <c r="C74" i="19"/>
  <c r="T39" i="18"/>
  <c r="D74" i="19" s="1"/>
  <c r="U39" i="18"/>
  <c r="E74" i="19" s="1"/>
  <c r="C76" i="19"/>
  <c r="U41" i="18"/>
  <c r="E76" i="19" s="1"/>
  <c r="T41" i="18"/>
  <c r="D76" i="19" s="1"/>
  <c r="C80" i="23"/>
  <c r="U78" i="18"/>
  <c r="E80" i="23" s="1"/>
  <c r="W78" i="18"/>
  <c r="G80" i="23" s="1"/>
  <c r="T78" i="18"/>
  <c r="D80" i="23" s="1"/>
  <c r="V78" i="18"/>
  <c r="F80" i="23" s="1"/>
  <c r="X78" i="18"/>
  <c r="H80" i="23" s="1"/>
  <c r="T89" i="18"/>
  <c r="D80" i="25" s="1"/>
  <c r="X89" i="18"/>
  <c r="H80" i="25" s="1"/>
  <c r="V89" i="18"/>
  <c r="F80" i="25" s="1"/>
  <c r="W89" i="18"/>
  <c r="G80" i="25" s="1"/>
  <c r="U89" i="18"/>
  <c r="E80" i="25" s="1"/>
  <c r="Y89" i="18"/>
  <c r="I80" i="25" s="1"/>
  <c r="C76" i="23"/>
  <c r="U74" i="18"/>
  <c r="E76" i="23" s="1"/>
  <c r="W74" i="18"/>
  <c r="G76" i="23" s="1"/>
  <c r="X74" i="18"/>
  <c r="H76" i="23" s="1"/>
  <c r="T74" i="18"/>
  <c r="D76" i="23" s="1"/>
  <c r="V74" i="18"/>
  <c r="F76" i="23" s="1"/>
  <c r="C81" i="20"/>
  <c r="T57" i="18"/>
  <c r="D81" i="20" s="1"/>
  <c r="U57" i="18"/>
  <c r="E81" i="20" s="1"/>
  <c r="V57" i="18"/>
  <c r="F81" i="20" s="1"/>
  <c r="V64" i="18"/>
  <c r="F77" i="22" s="1"/>
  <c r="T64" i="18"/>
  <c r="D77" i="22" s="1"/>
  <c r="U64" i="18"/>
  <c r="E77" i="22" s="1"/>
  <c r="C77" i="22"/>
  <c r="W64" i="18"/>
  <c r="G77" i="22" s="1"/>
  <c r="AH30" i="18"/>
  <c r="AI30" i="18" s="1"/>
  <c r="AG19" i="18" s="1"/>
  <c r="Q76" i="18" s="1"/>
  <c r="A78" i="23" s="1"/>
  <c r="S27" i="18"/>
  <c r="T27" i="18" s="1"/>
  <c r="R16" i="18" s="1"/>
  <c r="Q40" i="18" s="1"/>
  <c r="A75" i="19" s="1"/>
  <c r="AH28" i="18"/>
  <c r="AI28" i="18" s="1"/>
  <c r="AG17" i="18" s="1"/>
  <c r="Q74" i="18" s="1"/>
  <c r="A76" i="23" s="1"/>
  <c r="X32" i="18"/>
  <c r="Y32" i="18" s="1"/>
  <c r="W21" i="18" s="1"/>
  <c r="Q56" i="18" s="1"/>
  <c r="A80" i="20" s="1"/>
  <c r="Z90" i="18"/>
  <c r="J81" i="25" s="1"/>
  <c r="AM33" i="18"/>
  <c r="AN33" i="18" s="1"/>
  <c r="AL22" i="18" s="1"/>
  <c r="Q90" i="18" s="1"/>
  <c r="A81" i="25" s="1"/>
  <c r="X62" i="18"/>
  <c r="H75" i="22" s="1"/>
  <c r="AC27" i="18"/>
  <c r="AD27" i="18" s="1"/>
  <c r="AB16" i="18" s="1"/>
  <c r="Q62" i="18" s="1"/>
  <c r="A75" i="22" s="1"/>
  <c r="X61" i="18"/>
  <c r="H74" i="22" s="1"/>
  <c r="AC26" i="18"/>
  <c r="AD26" i="18" s="1"/>
  <c r="AB15" i="18" s="1"/>
  <c r="Q61" i="18" s="1"/>
  <c r="A74" i="22" s="1"/>
  <c r="X33" i="18"/>
  <c r="Y33" i="18" s="1"/>
  <c r="W22" i="18" s="1"/>
  <c r="Q57" i="18" s="1"/>
  <c r="A81" i="20" s="1"/>
  <c r="Y77" i="18"/>
  <c r="I79" i="23" s="1"/>
  <c r="AH31" i="18"/>
  <c r="AI31" i="18" s="1"/>
  <c r="AG20" i="18" s="1"/>
  <c r="Q77" i="18" s="1"/>
  <c r="A79" i="23" s="1"/>
  <c r="W50" i="18"/>
  <c r="G74" i="20" s="1"/>
  <c r="X26" i="18"/>
  <c r="Y26" i="18" s="1"/>
  <c r="W15" i="18" s="1"/>
  <c r="Q50" i="18" s="1"/>
  <c r="A74" i="20" s="1"/>
  <c r="X28" i="18"/>
  <c r="Y28" i="18" s="1"/>
  <c r="W17" i="18" s="1"/>
  <c r="Q52" i="18" s="1"/>
  <c r="A76" i="20" s="1"/>
  <c r="W54" i="18"/>
  <c r="G78" i="20" s="1"/>
  <c r="X30" i="18"/>
  <c r="Y30" i="18" s="1"/>
  <c r="W19" i="18" s="1"/>
  <c r="Q54" i="18" s="1"/>
  <c r="A78" i="20" s="1"/>
  <c r="X65" i="18"/>
  <c r="H78" i="22" s="1"/>
  <c r="AC30" i="18"/>
  <c r="AD30" i="18" s="1"/>
  <c r="AB19" i="18" s="1"/>
  <c r="Q65" i="18" s="1"/>
  <c r="A78" i="22" s="1"/>
  <c r="V44" i="18"/>
  <c r="F79" i="19" s="1"/>
  <c r="S31" i="18"/>
  <c r="T31" i="18" s="1"/>
  <c r="R20" i="18" s="1"/>
  <c r="Q44" i="18" s="1"/>
  <c r="A79" i="19" s="1"/>
  <c r="V41" i="18"/>
  <c r="F76" i="19" s="1"/>
  <c r="S28" i="18"/>
  <c r="T28" i="18" s="1"/>
  <c r="R17" i="18" s="1"/>
  <c r="Q41" i="18" s="1"/>
  <c r="A76" i="19" s="1"/>
  <c r="S33" i="18"/>
  <c r="T33" i="18" s="1"/>
  <c r="R22" i="18" s="1"/>
  <c r="Q46" i="18" s="1"/>
  <c r="A81" i="19" s="1"/>
  <c r="Z88" i="18"/>
  <c r="J79" i="25" s="1"/>
  <c r="AM31" i="18"/>
  <c r="AN31" i="18" s="1"/>
  <c r="AL20" i="18" s="1"/>
  <c r="Q88" i="18" s="1"/>
  <c r="A79" i="25" s="1"/>
  <c r="W55" i="18"/>
  <c r="G79" i="20" s="1"/>
  <c r="X31" i="18"/>
  <c r="Y31" i="18" s="1"/>
  <c r="W20" i="18" s="1"/>
  <c r="Q55" i="18" s="1"/>
  <c r="A79" i="20" s="1"/>
  <c r="X68" i="18"/>
  <c r="H81" i="22" s="1"/>
  <c r="AC33" i="18"/>
  <c r="AD33" i="18" s="1"/>
  <c r="AB22" i="18" s="1"/>
  <c r="Q68" i="18" s="1"/>
  <c r="A81" i="22" s="1"/>
  <c r="V45" i="18"/>
  <c r="F80" i="19" s="1"/>
  <c r="S32" i="18"/>
  <c r="T32" i="18" s="1"/>
  <c r="R21" i="18" s="1"/>
  <c r="Q45" i="18" s="1"/>
  <c r="A80" i="19" s="1"/>
  <c r="AC28" i="18"/>
  <c r="AD28" i="18" s="1"/>
  <c r="AB17" i="18" s="1"/>
  <c r="Q63" i="18" s="1"/>
  <c r="A76" i="22" s="1"/>
  <c r="S26" i="18"/>
  <c r="T26" i="18" s="1"/>
  <c r="R15" i="18" s="1"/>
  <c r="Q39" i="18" s="1"/>
  <c r="A74" i="19" s="1"/>
  <c r="AC29" i="18"/>
  <c r="AD29" i="18" s="1"/>
  <c r="AB18" i="18" s="1"/>
  <c r="Q64" i="18" s="1"/>
  <c r="A77" i="22" s="1"/>
  <c r="AC32" i="18"/>
  <c r="AD32" i="18" s="1"/>
  <c r="AB21" i="18" s="1"/>
  <c r="Q67" i="18" s="1"/>
  <c r="A80" i="22" s="1"/>
  <c r="AH26" i="18"/>
  <c r="AI26" i="18" s="1"/>
  <c r="AG15" i="18" s="1"/>
  <c r="Q72" i="18" s="1"/>
  <c r="A74" i="23" s="1"/>
  <c r="S29" i="18"/>
  <c r="T29" i="18" s="1"/>
  <c r="R18" i="18" s="1"/>
  <c r="Q42" i="18" s="1"/>
  <c r="A77" i="19" s="1"/>
  <c r="W51" i="18"/>
  <c r="G75" i="20" s="1"/>
  <c r="X27" i="18"/>
  <c r="Y27" i="18" s="1"/>
  <c r="W16" i="18" s="1"/>
  <c r="Q51" i="18" s="1"/>
  <c r="A75" i="20" s="1"/>
  <c r="X66" i="18"/>
  <c r="H79" i="22" s="1"/>
  <c r="AC31" i="18"/>
  <c r="AD31" i="18" s="1"/>
  <c r="AB20" i="18" s="1"/>
  <c r="Q66" i="18" s="1"/>
  <c r="A79" i="22" s="1"/>
  <c r="AM26" i="18"/>
  <c r="AN26" i="18" s="1"/>
  <c r="AL15" i="18" s="1"/>
  <c r="Q83" i="18" s="1"/>
  <c r="A74" i="25" s="1"/>
  <c r="Z87" i="18"/>
  <c r="J78" i="25" s="1"/>
  <c r="AM30" i="18"/>
  <c r="AN30" i="18" s="1"/>
  <c r="AL19" i="18" s="1"/>
  <c r="Q87" i="18" s="1"/>
  <c r="A78" i="25" s="1"/>
  <c r="Y79" i="18"/>
  <c r="I81" i="23" s="1"/>
  <c r="AH33" i="18"/>
  <c r="AI33" i="18" s="1"/>
  <c r="AG22" i="18" s="1"/>
  <c r="Q79" i="18" s="1"/>
  <c r="A81" i="23" s="1"/>
  <c r="AM32" i="18"/>
  <c r="AN32" i="18" s="1"/>
  <c r="AL21" i="18" s="1"/>
  <c r="Q89" i="18" s="1"/>
  <c r="A80" i="25" s="1"/>
  <c r="S30" i="18"/>
  <c r="T30" i="18" s="1"/>
  <c r="R19" i="18" s="1"/>
  <c r="Q43" i="18" s="1"/>
  <c r="A78" i="19" s="1"/>
  <c r="Y75" i="18"/>
  <c r="I77" i="23" s="1"/>
  <c r="AH29" i="18"/>
  <c r="AI29" i="18" s="1"/>
  <c r="AG18" i="18" s="1"/>
  <c r="Q75" i="18" s="1"/>
  <c r="A77" i="23" s="1"/>
  <c r="AM28" i="18"/>
  <c r="AN28" i="18" s="1"/>
  <c r="AL17" i="18" s="1"/>
  <c r="Q85" i="18" s="1"/>
  <c r="A76" i="25" s="1"/>
  <c r="Y73" i="18"/>
  <c r="I75" i="23" s="1"/>
  <c r="AH27" i="18"/>
  <c r="AI27" i="18" s="1"/>
  <c r="AG16" i="18" s="1"/>
  <c r="Q73" i="18" s="1"/>
  <c r="A75" i="23" s="1"/>
  <c r="X29" i="18"/>
  <c r="Y29" i="18" s="1"/>
  <c r="W18" i="18" s="1"/>
  <c r="Q53" i="18" s="1"/>
  <c r="A77" i="20" s="1"/>
  <c r="AM27" i="18"/>
  <c r="AN27" i="18" s="1"/>
  <c r="AL16" i="18" s="1"/>
  <c r="Q84" i="18" s="1"/>
  <c r="A75" i="25" s="1"/>
  <c r="AH32" i="18"/>
  <c r="AI32" i="18" s="1"/>
  <c r="AG21" i="18" s="1"/>
  <c r="Q78" i="18" s="1"/>
  <c r="A80" i="23" s="1"/>
  <c r="AM29" i="18"/>
  <c r="AN29" i="18" s="1"/>
  <c r="AL18" i="18" s="1"/>
  <c r="Q86" i="18" s="1"/>
  <c r="A77" i="25" s="1"/>
  <c r="U18" i="18"/>
  <c r="R42" i="18" s="1"/>
  <c r="B77" i="19" s="1"/>
  <c r="S42" i="18"/>
  <c r="U19" i="18"/>
  <c r="R43" i="18" s="1"/>
  <c r="B78" i="19" s="1"/>
  <c r="S43" i="18"/>
  <c r="AJ16" i="18"/>
  <c r="R73" i="18" s="1"/>
  <c r="B75" i="23" s="1"/>
  <c r="S63" i="18"/>
  <c r="U16" i="18"/>
  <c r="R40" i="18" s="1"/>
  <c r="B75" i="19" s="1"/>
  <c r="S40" i="18"/>
  <c r="Z17" i="18"/>
  <c r="R52" i="18" s="1"/>
  <c r="B76" i="20" s="1"/>
  <c r="AE17" i="18"/>
  <c r="R63" i="18" s="1"/>
  <c r="B76" i="22" s="1"/>
  <c r="Z16" i="18"/>
  <c r="R51" i="18" s="1"/>
  <c r="B75" i="20" s="1"/>
  <c r="Z21" i="18"/>
  <c r="R56" i="18" s="1"/>
  <c r="B80" i="20" s="1"/>
  <c r="Z20" i="18"/>
  <c r="R55" i="18" s="1"/>
  <c r="B79" i="20" s="1"/>
  <c r="Z19" i="18"/>
  <c r="R54" i="18" s="1"/>
  <c r="B78" i="20" s="1"/>
  <c r="Z22" i="18"/>
  <c r="R57" i="18" s="1"/>
  <c r="B81" i="20" s="1"/>
  <c r="AJ22" i="18"/>
  <c r="R79" i="18" s="1"/>
  <c r="B81" i="23" s="1"/>
  <c r="AJ21" i="18"/>
  <c r="R78" i="18" s="1"/>
  <c r="B80" i="23" s="1"/>
  <c r="AJ18" i="18"/>
  <c r="R75" i="18" s="1"/>
  <c r="B77" i="23" s="1"/>
  <c r="AJ19" i="18"/>
  <c r="R76" i="18" s="1"/>
  <c r="B78" i="23" s="1"/>
  <c r="AJ20" i="18"/>
  <c r="R77" i="18" s="1"/>
  <c r="B79" i="23" s="1"/>
  <c r="AE21" i="18"/>
  <c r="R67" i="18" s="1"/>
  <c r="B80" i="22" s="1"/>
  <c r="AO16" i="18"/>
  <c r="R84" i="18" s="1"/>
  <c r="B75" i="25" s="1"/>
  <c r="AO15" i="18"/>
  <c r="R83" i="18" s="1"/>
  <c r="B74" i="25" s="1"/>
  <c r="AJ15" i="18"/>
  <c r="R72" i="18" s="1"/>
  <c r="B74" i="23" s="1"/>
  <c r="AE19" i="18"/>
  <c r="R65" i="18" s="1"/>
  <c r="B78" i="22" s="1"/>
  <c r="AE18" i="18"/>
  <c r="R64" i="18" s="1"/>
  <c r="B77" i="22" s="1"/>
  <c r="AE22" i="18"/>
  <c r="R68" i="18" s="1"/>
  <c r="B81" i="22" s="1"/>
  <c r="Z18" i="18"/>
  <c r="R53" i="18" s="1"/>
  <c r="B77" i="20" s="1"/>
  <c r="AE20" i="18"/>
  <c r="R66" i="18" s="1"/>
  <c r="B79" i="22" s="1"/>
  <c r="AO22" i="18"/>
  <c r="R90" i="18" s="1"/>
  <c r="B81" i="25" s="1"/>
  <c r="AO21" i="18"/>
  <c r="R89" i="18" s="1"/>
  <c r="B80" i="25" s="1"/>
  <c r="AO18" i="18"/>
  <c r="R86" i="18" s="1"/>
  <c r="B77" i="25" s="1"/>
  <c r="AO20" i="18"/>
  <c r="R88" i="18" s="1"/>
  <c r="B79" i="25" s="1"/>
  <c r="AJ17" i="18"/>
  <c r="R74" i="18" s="1"/>
  <c r="B76" i="23" s="1"/>
  <c r="AO19" i="18"/>
  <c r="R87" i="18" s="1"/>
  <c r="B78" i="25" s="1"/>
  <c r="AO17" i="18"/>
  <c r="R85" i="18" s="1"/>
  <c r="B76" i="25" s="1"/>
  <c r="T46" i="18" l="1"/>
  <c r="D81" i="19" s="1"/>
  <c r="U46" i="18"/>
  <c r="E81" i="19" s="1"/>
  <c r="C75" i="19"/>
  <c r="T40" i="18"/>
  <c r="D75" i="19" s="1"/>
  <c r="U40" i="18"/>
  <c r="E75" i="19" s="1"/>
  <c r="U43" i="18"/>
  <c r="E78" i="19" s="1"/>
  <c r="T43" i="18"/>
  <c r="D78" i="19" s="1"/>
  <c r="C78" i="19"/>
  <c r="V63" i="18"/>
  <c r="F76" i="22" s="1"/>
  <c r="C76" i="22"/>
  <c r="T63" i="18"/>
  <c r="D76" i="22" s="1"/>
  <c r="W63" i="18"/>
  <c r="G76" i="22" s="1"/>
  <c r="U63" i="18"/>
  <c r="E76" i="22" s="1"/>
  <c r="C77" i="19"/>
  <c r="T42" i="18"/>
  <c r="D77" i="19" s="1"/>
  <c r="U42" i="18"/>
  <c r="E77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<sst xmlns="http://schemas.openxmlformats.org/spreadsheetml/2006/main" count="520" uniqueCount="123">
  <si>
    <t>Round 1 - Strokes</t>
  </si>
  <si>
    <t>PLAYERS</t>
  </si>
  <si>
    <t>TOTAL</t>
  </si>
  <si>
    <t>BELLIS</t>
  </si>
  <si>
    <t>DEY</t>
  </si>
  <si>
    <t>DONOVAN</t>
  </si>
  <si>
    <t>FINDLAY</t>
  </si>
  <si>
    <t>HOLLANDS</t>
  </si>
  <si>
    <t>LAING</t>
  </si>
  <si>
    <t>REILLY</t>
  </si>
  <si>
    <t>STONES</t>
  </si>
  <si>
    <t>Round 2 - Strokes</t>
  </si>
  <si>
    <t>Round 3 - Strokes</t>
  </si>
  <si>
    <t>Round 4 - Strokes</t>
  </si>
  <si>
    <t>Round 6 - Strokes</t>
  </si>
  <si>
    <t>HCP</t>
  </si>
  <si>
    <t>SCORECARD</t>
  </si>
  <si>
    <t>HCP STRKS</t>
  </si>
  <si>
    <t>NET SCORE</t>
  </si>
  <si>
    <t>STABLEFORD</t>
  </si>
  <si>
    <t>ROUND 3 CALCS</t>
  </si>
  <si>
    <t>ROUND 5 CALCS</t>
  </si>
  <si>
    <t>ROUND 6 CALCS</t>
  </si>
  <si>
    <t>PAR</t>
  </si>
  <si>
    <t>S.I</t>
  </si>
  <si>
    <t>HOLE</t>
  </si>
  <si>
    <t>Round 1 - Stableford Points</t>
  </si>
  <si>
    <t>TOURNAMENT RANKER</t>
  </si>
  <si>
    <t>TOURNAMENT STANDINGS</t>
  </si>
  <si>
    <t>PLAYER</t>
  </si>
  <si>
    <t xml:space="preserve">RANK </t>
  </si>
  <si>
    <t xml:space="preserve">SCORE </t>
  </si>
  <si>
    <t>POINTS</t>
  </si>
  <si>
    <t>LOWEST NETS</t>
  </si>
  <si>
    <t>LOWEST</t>
  </si>
  <si>
    <t>2ND LOWEST</t>
  </si>
  <si>
    <t>3RD LOWEST</t>
  </si>
  <si>
    <t>MP ORDER</t>
  </si>
  <si>
    <t xml:space="preserve">OCT 1ST </t>
  </si>
  <si>
    <t>OCT 15TH</t>
  </si>
  <si>
    <t>NOV 1ST</t>
  </si>
  <si>
    <t>NOV 15TH</t>
  </si>
  <si>
    <t>DEC 1ST</t>
  </si>
  <si>
    <t>DEC 15TH</t>
  </si>
  <si>
    <t>JAN 1ST</t>
  </si>
  <si>
    <t>ROUND 1</t>
  </si>
  <si>
    <t>ROUND 2</t>
  </si>
  <si>
    <t>ROUND 3</t>
  </si>
  <si>
    <t xml:space="preserve">ROUND 4 </t>
  </si>
  <si>
    <t xml:space="preserve">ROUND 5 </t>
  </si>
  <si>
    <t>ROUND 6</t>
  </si>
  <si>
    <t>R1</t>
  </si>
  <si>
    <t>R2</t>
  </si>
  <si>
    <t>R3</t>
  </si>
  <si>
    <t>R4</t>
  </si>
  <si>
    <t>R5</t>
  </si>
  <si>
    <t>R6</t>
  </si>
  <si>
    <t>total</t>
  </si>
  <si>
    <t xml:space="preserve">Running Sum per round </t>
  </si>
  <si>
    <t xml:space="preserve">after 2 </t>
  </si>
  <si>
    <t>after 3</t>
  </si>
  <si>
    <t>after 4</t>
  </si>
  <si>
    <t>after 5</t>
  </si>
  <si>
    <t xml:space="preserve">total </t>
  </si>
  <si>
    <t>Name Order</t>
  </si>
  <si>
    <t xml:space="preserve">Number Order </t>
  </si>
  <si>
    <t>Round 2</t>
  </si>
  <si>
    <t>Round 1</t>
  </si>
  <si>
    <t>Round 3</t>
  </si>
  <si>
    <t xml:space="preserve">Round 4 </t>
  </si>
  <si>
    <t>Round 5</t>
  </si>
  <si>
    <t xml:space="preserve">Round 6 </t>
  </si>
  <si>
    <t>Round 2 - Net Scores</t>
  </si>
  <si>
    <t xml:space="preserve">Round 2 - Matchplay Order </t>
  </si>
  <si>
    <t>MP Points</t>
  </si>
  <si>
    <t xml:space="preserve">Round 1 - Tournament Standings </t>
  </si>
  <si>
    <t xml:space="preserve">Round 3 - Tournament Standings </t>
  </si>
  <si>
    <t>Round 3 - Modified Stableford Points</t>
  </si>
  <si>
    <t xml:space="preserve">RED MOUNTAIN </t>
  </si>
  <si>
    <t>MODIFIED STABLEFORD</t>
  </si>
  <si>
    <t>OUT</t>
  </si>
  <si>
    <t>IN</t>
  </si>
  <si>
    <t xml:space="preserve">Round 4 - Tournament Standings </t>
  </si>
  <si>
    <t>Round 4 - Stableford Points</t>
  </si>
  <si>
    <t xml:space="preserve">Round 6 - Tournament Standings </t>
  </si>
  <si>
    <t>Round 6 - Net Scores</t>
  </si>
  <si>
    <t>Final individual round tables</t>
  </si>
  <si>
    <t xml:space="preserve">Round 2 </t>
  </si>
  <si>
    <t>2 ROUNDS</t>
  </si>
  <si>
    <t>3 ROUNDS</t>
  </si>
  <si>
    <t>4 ROUNDS</t>
  </si>
  <si>
    <t>5 ROUNDS</t>
  </si>
  <si>
    <t xml:space="preserve">Round 5 </t>
  </si>
  <si>
    <t xml:space="preserve">6 ROUNDS final standing </t>
  </si>
  <si>
    <t>Round 2 - Overall Table</t>
  </si>
  <si>
    <t>Round 3 - Overall Table</t>
  </si>
  <si>
    <t xml:space="preserve">Round 3 </t>
  </si>
  <si>
    <t>Round 4 - Overall Table</t>
  </si>
  <si>
    <t>Round 4</t>
  </si>
  <si>
    <t>Round 5 - Overall Table</t>
  </si>
  <si>
    <t xml:space="preserve">Round 5 - Matchplay Order </t>
  </si>
  <si>
    <t>Round 5 - Net Scores</t>
  </si>
  <si>
    <t>Round 5 - Strokes</t>
  </si>
  <si>
    <t xml:space="preserve">Total </t>
  </si>
  <si>
    <t>Total</t>
  </si>
  <si>
    <t>Round 6</t>
  </si>
  <si>
    <t>ROUND 1 SCORECARD &amp; POINTS                                                Blue Lakes</t>
  </si>
  <si>
    <t>ROUND 2 SCORECARD &amp; POINTS                                                Blue Canyon</t>
  </si>
  <si>
    <t>OPTA PHUKET</t>
  </si>
  <si>
    <t>EAGLE</t>
  </si>
  <si>
    <t>BIRDY</t>
  </si>
  <si>
    <t>BOGEY</t>
  </si>
  <si>
    <t>DOUBLE</t>
  </si>
  <si>
    <t>TRIPLE</t>
  </si>
  <si>
    <t>QUAD+</t>
  </si>
  <si>
    <t>LAKES</t>
  </si>
  <si>
    <t>CANYON</t>
  </si>
  <si>
    <t>MOUNTAIN</t>
  </si>
  <si>
    <t>LOCH</t>
  </si>
  <si>
    <t>LAGOON</t>
  </si>
  <si>
    <t>JAN 15TH</t>
  </si>
  <si>
    <t xml:space="preserve">FEB 1ST </t>
  </si>
  <si>
    <t>Round 6 - Overall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</si>
</sst>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3"/>
      <color rgb="FF000000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96F7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2" borderId="0" xfId="0" applyFill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/>
    <xf numFmtId="0" fontId="0" fillId="3" borderId="4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left"/>
    </xf>
    <xf numFmtId="0" fontId="0" fillId="3" borderId="5" xfId="0" applyFill="1" applyBorder="1"/>
    <xf numFmtId="0" fontId="0" fillId="3" borderId="7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left"/>
    </xf>
    <xf numFmtId="0" fontId="0" fillId="4" borderId="5" xfId="0" applyFill="1" applyBorder="1"/>
    <xf numFmtId="0" fontId="0" fillId="4" borderId="7" xfId="0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/>
    <xf numFmtId="0" fontId="0" fillId="4" borderId="4" xfId="0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9" xfId="0" applyFill="1" applyBorder="1" applyAlignment="1">
      <alignment horizontal="left"/>
    </xf>
    <xf numFmtId="0" fontId="0" fillId="5" borderId="5" xfId="0" applyFill="1" applyBorder="1"/>
    <xf numFmtId="0" fontId="0" fillId="5" borderId="7" xfId="0" applyFill="1" applyBorder="1" applyAlignment="1">
      <alignment horizontal="left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/>
    <xf numFmtId="0" fontId="0" fillId="5" borderId="4" xfId="0" applyFill="1" applyBorder="1"/>
    <xf numFmtId="0" fontId="0" fillId="5" borderId="10" xfId="0" applyFill="1" applyBorder="1" applyAlignment="1">
      <alignment horizontal="center"/>
    </xf>
    <xf numFmtId="0" fontId="0" fillId="6" borderId="2" xfId="0" applyFill="1" applyBorder="1"/>
    <xf numFmtId="0" fontId="0" fillId="6" borderId="4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9" xfId="0" applyFill="1" applyBorder="1" applyAlignment="1">
      <alignment horizontal="left"/>
    </xf>
    <xf numFmtId="0" fontId="0" fillId="6" borderId="5" xfId="0" applyFill="1" applyBorder="1"/>
    <xf numFmtId="0" fontId="0" fillId="6" borderId="7" xfId="0" applyFill="1" applyBorder="1" applyAlignment="1">
      <alignment horizontal="left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" xfId="0" applyFill="1" applyBorder="1"/>
    <xf numFmtId="0" fontId="0" fillId="6" borderId="4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27" xfId="0" applyFont="1" applyBorder="1"/>
    <xf numFmtId="0" fontId="6" fillId="0" borderId="28" xfId="0" applyFont="1" applyBorder="1" applyAlignment="1">
      <alignment horizontal="center"/>
    </xf>
    <xf numFmtId="0" fontId="7" fillId="0" borderId="27" xfId="0" applyFont="1" applyBorder="1"/>
    <xf numFmtId="0" fontId="0" fillId="0" borderId="32" xfId="0" applyBorder="1"/>
    <xf numFmtId="0" fontId="0" fillId="0" borderId="34" xfId="0" applyBorder="1"/>
    <xf numFmtId="0" fontId="0" fillId="0" borderId="33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0" borderId="22" xfId="0" applyBorder="1" applyAlignment="1">
      <alignment horizontal="right"/>
    </xf>
    <xf numFmtId="0" fontId="0" fillId="7" borderId="0" xfId="0" applyFill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9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0" xfId="0" applyFill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0" xfId="0" applyFill="1"/>
    <xf numFmtId="0" fontId="0" fillId="8" borderId="23" xfId="0" applyFill="1" applyBorder="1"/>
    <xf numFmtId="0" fontId="0" fillId="8" borderId="24" xfId="0" applyFill="1" applyBorder="1"/>
    <xf numFmtId="0" fontId="0" fillId="8" borderId="25" xfId="0" applyFill="1" applyBorder="1"/>
    <xf numFmtId="0" fontId="0" fillId="8" borderId="26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5" borderId="26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0" xfId="0" applyFill="1"/>
    <xf numFmtId="0" fontId="0" fillId="6" borderId="23" xfId="0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26" xfId="0" applyFill="1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0" fillId="9" borderId="2" xfId="0" applyFill="1" applyBorder="1"/>
    <xf numFmtId="0" fontId="0" fillId="9" borderId="8" xfId="0" applyFill="1" applyBorder="1"/>
    <xf numFmtId="0" fontId="0" fillId="9" borderId="5" xfId="0" applyFill="1" applyBorder="1"/>
    <xf numFmtId="0" fontId="0" fillId="9" borderId="9" xfId="0" applyFill="1" applyBorder="1"/>
    <xf numFmtId="0" fontId="0" fillId="9" borderId="9" xfId="0" applyFill="1" applyBorder="1" applyAlignment="1">
      <alignment horizontal="left"/>
    </xf>
    <xf numFmtId="0" fontId="0" fillId="9" borderId="7" xfId="0" applyFill="1" applyBorder="1" applyAlignment="1">
      <alignment horizontal="left"/>
    </xf>
    <xf numFmtId="0" fontId="0" fillId="9" borderId="4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" xfId="0" applyFill="1" applyBorder="1"/>
    <xf numFmtId="0" fontId="0" fillId="9" borderId="19" xfId="0" applyFill="1" applyBorder="1"/>
    <xf numFmtId="0" fontId="0" fillId="9" borderId="20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0" xfId="0" applyFill="1"/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26" xfId="0" applyFill="1" applyBorder="1"/>
    <xf numFmtId="0" fontId="0" fillId="9" borderId="4" xfId="0" applyFill="1" applyBorder="1"/>
    <xf numFmtId="0" fontId="0" fillId="9" borderId="10" xfId="0" applyFill="1" applyBorder="1" applyAlignment="1">
      <alignment horizontal="center"/>
    </xf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0" xfId="0" applyFill="1"/>
    <xf numFmtId="0" fontId="0" fillId="10" borderId="8" xfId="0" applyFill="1" applyBorder="1"/>
    <xf numFmtId="0" fontId="0" fillId="10" borderId="9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1" xfId="0" applyFill="1" applyBorder="1"/>
    <xf numFmtId="0" fontId="0" fillId="3" borderId="42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3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11" borderId="0" xfId="0" applyFill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9" xfId="0" applyFill="1" applyBorder="1"/>
    <xf numFmtId="0" fontId="0" fillId="11" borderId="6" xfId="0" applyFill="1" applyBorder="1"/>
    <xf numFmtId="0" fontId="0" fillId="11" borderId="7" xfId="0" applyFill="1" applyBorder="1"/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12" borderId="0" xfId="0" applyFill="1"/>
    <xf numFmtId="0" fontId="0" fillId="12" borderId="0" xfId="0" applyFill="1" applyAlignment="1">
      <alignment horizontal="right"/>
    </xf>
    <xf numFmtId="0" fontId="0" fillId="11" borderId="8" xfId="0" applyFill="1" applyBorder="1" applyAlignment="1">
      <alignment horizontal="right"/>
    </xf>
    <xf numFmtId="0" fontId="0" fillId="11" borderId="5" xfId="0" applyFill="1" applyBorder="1" applyAlignment="1">
      <alignment horizontal="right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13" borderId="35" xfId="0" applyFill="1" applyBorder="1"/>
    <xf numFmtId="0" fontId="0" fillId="13" borderId="4" xfId="0" applyFill="1" applyBorder="1"/>
    <xf numFmtId="0" fontId="0" fillId="13" borderId="10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33" xfId="0" applyFill="1" applyBorder="1"/>
    <xf numFmtId="0" fontId="0" fillId="13" borderId="9" xfId="0" applyFill="1" applyBorder="1"/>
    <xf numFmtId="0" fontId="2" fillId="13" borderId="0" xfId="0" applyFont="1" applyFill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36" xfId="0" applyFill="1" applyBorder="1"/>
    <xf numFmtId="0" fontId="0" fillId="13" borderId="37" xfId="0" applyFill="1" applyBorder="1"/>
    <xf numFmtId="0" fontId="0" fillId="13" borderId="4" xfId="0" applyFill="1" applyBorder="1" applyAlignment="1">
      <alignment horizontal="center"/>
    </xf>
    <xf numFmtId="0" fontId="0" fillId="13" borderId="9" xfId="0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13" borderId="19" xfId="0" applyFill="1" applyBorder="1"/>
    <xf numFmtId="0" fontId="0" fillId="13" borderId="21" xfId="0" applyFill="1" applyBorder="1" applyAlignment="1">
      <alignment horizontal="center"/>
    </xf>
    <xf numFmtId="0" fontId="0" fillId="13" borderId="22" xfId="0" applyFill="1" applyBorder="1"/>
    <xf numFmtId="0" fontId="0" fillId="13" borderId="23" xfId="0" applyFill="1" applyBorder="1"/>
    <xf numFmtId="0" fontId="0" fillId="13" borderId="23" xfId="0" applyFill="1" applyBorder="1" applyAlignment="1">
      <alignment horizontal="left"/>
    </xf>
    <xf numFmtId="0" fontId="0" fillId="13" borderId="24" xfId="0" applyFill="1" applyBorder="1"/>
    <xf numFmtId="0" fontId="0" fillId="13" borderId="26" xfId="0" applyFill="1" applyBorder="1" applyAlignment="1">
      <alignment horizontal="left"/>
    </xf>
    <xf numFmtId="0" fontId="0" fillId="13" borderId="20" xfId="0" applyFill="1" applyBorder="1"/>
    <xf numFmtId="0" fontId="0" fillId="13" borderId="21" xfId="0" applyFill="1" applyBorder="1"/>
    <xf numFmtId="0" fontId="0" fillId="13" borderId="0" xfId="0" applyFill="1"/>
    <xf numFmtId="0" fontId="0" fillId="13" borderId="25" xfId="0" applyFill="1" applyBorder="1"/>
    <xf numFmtId="0" fontId="0" fillId="13" borderId="26" xfId="0" applyFill="1" applyBorder="1"/>
    <xf numFmtId="0" fontId="0" fillId="14" borderId="0" xfId="0" applyFill="1"/>
    <xf numFmtId="0" fontId="12" fillId="0" borderId="0" xfId="0" applyFont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4" borderId="2" xfId="0" applyFill="1" applyBorder="1"/>
    <xf numFmtId="0" fontId="0" fillId="14" borderId="3" xfId="0" applyFill="1" applyBorder="1"/>
    <xf numFmtId="0" fontId="0" fillId="13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7" borderId="4" xfId="0" applyFill="1" applyBorder="1"/>
    <xf numFmtId="0" fontId="0" fillId="14" borderId="8" xfId="0" applyFill="1" applyBorder="1"/>
    <xf numFmtId="0" fontId="0" fillId="17" borderId="9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3" borderId="6" xfId="0" applyFill="1" applyBorder="1"/>
    <xf numFmtId="0" fontId="0" fillId="15" borderId="6" xfId="0" applyFill="1" applyBorder="1"/>
    <xf numFmtId="0" fontId="0" fillId="16" borderId="6" xfId="0" applyFill="1" applyBorder="1"/>
    <xf numFmtId="0" fontId="0" fillId="17" borderId="6" xfId="0" applyFill="1" applyBorder="1"/>
    <xf numFmtId="0" fontId="0" fillId="17" borderId="7" xfId="0" applyFill="1" applyBorder="1"/>
    <xf numFmtId="0" fontId="0" fillId="0" borderId="0" xfId="0" applyAlignment="1">
      <alignment horizontal="left"/>
    </xf>
    <xf numFmtId="0" fontId="13" fillId="0" borderId="0" xfId="0" applyFont="1"/>
    <xf numFmtId="0" fontId="8" fillId="13" borderId="30" xfId="0" applyFont="1" applyFill="1" applyBorder="1" applyAlignment="1">
      <alignment horizontal="center"/>
    </xf>
    <xf numFmtId="0" fontId="8" fillId="13" borderId="31" xfId="0" applyFont="1" applyFill="1" applyBorder="1" applyAlignment="1">
      <alignment horizontal="center"/>
    </xf>
    <xf numFmtId="0" fontId="8" fillId="13" borderId="33" xfId="0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19" xfId="0" applyFont="1" applyFill="1" applyBorder="1" applyAlignment="1">
      <alignment horizontal="center"/>
    </xf>
    <xf numFmtId="0" fontId="9" fillId="13" borderId="20" xfId="0" applyFont="1" applyFill="1" applyBorder="1" applyAlignment="1">
      <alignment horizontal="center"/>
    </xf>
    <xf numFmtId="0" fontId="9" fillId="13" borderId="21" xfId="0" applyFont="1" applyFill="1" applyBorder="1" applyAlignment="1">
      <alignment horizontal="center"/>
    </xf>
    <xf numFmtId="0" fontId="9" fillId="13" borderId="22" xfId="0" applyFont="1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9" fillId="13" borderId="23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8" fillId="12" borderId="30" xfId="0" applyFont="1" applyFill="1" applyBorder="1" applyAlignment="1">
      <alignment horizontal="center"/>
    </xf>
    <xf numFmtId="0" fontId="8" fillId="12" borderId="31" xfId="0" applyFont="1" applyFill="1" applyBorder="1" applyAlignment="1">
      <alignment horizontal="center"/>
    </xf>
    <xf numFmtId="0" fontId="8" fillId="12" borderId="33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8" borderId="21" xfId="0" applyFont="1" applyFill="1" applyBorder="1" applyAlignment="1">
      <alignment horizontal="center"/>
    </xf>
    <xf numFmtId="0" fontId="9" fillId="8" borderId="22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9" fillId="8" borderId="2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9" fillId="9" borderId="19" xfId="0" applyFont="1" applyFill="1" applyBorder="1" applyAlignment="1">
      <alignment horizontal="center"/>
    </xf>
    <xf numFmtId="0" fontId="9" fillId="9" borderId="20" xfId="0" applyFont="1" applyFill="1" applyBorder="1" applyAlignment="1">
      <alignment horizontal="center"/>
    </xf>
    <xf numFmtId="0" fontId="9" fillId="9" borderId="21" xfId="0" applyFont="1" applyFill="1" applyBorder="1" applyAlignment="1">
      <alignment horizontal="center"/>
    </xf>
    <xf numFmtId="0" fontId="9" fillId="9" borderId="22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9" fillId="9" borderId="23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22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rgb="FFF2DA09"/>
        </patternFill>
      </fill>
    </dxf>
    <dxf>
      <fill>
        <patternFill>
          <bgColor rgb="FFD6D6D6"/>
        </patternFill>
      </fill>
    </dxf>
    <dxf>
      <fill>
        <patternFill>
          <bgColor rgb="FFAC8E68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AC8E68"/>
        </patternFill>
      </fill>
    </dxf>
    <dxf>
      <fill>
        <patternFill>
          <bgColor rgb="FFF2DA09"/>
        </patternFill>
      </fill>
    </dxf>
    <dxf>
      <fill>
        <patternFill>
          <bgColor rgb="FFD6D6D6"/>
        </patternFill>
      </fill>
    </dxf>
    <dxf>
      <fill>
        <patternFill>
          <bgColor rgb="FFAC8E68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AC8E68"/>
        </patternFill>
      </fill>
    </dxf>
  </dxfs>
  <tableStyles count="0" defaultTableStyle="TableStyleMedium9" defaultPivotStyle="PivotStyleLight16"/>
  <colors>
    <mruColors>
      <color rgb="FFAC8E68"/>
      <color rgb="FFE96F77"/>
      <color rgb="FFD6D6D6"/>
      <color rgb="FFF2DA09"/>
      <color rgb="FFEB9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49"/>
  <sheetViews>
    <sheetView topLeftCell="A16" workbookViewId="0">
      <selection activeCell="F16" sqref="F16"/>
    </sheetView>
  </sheetViews>
  <sheetFormatPr baseColWidth="10" defaultColWidth="8.83203125" defaultRowHeight="15" x14ac:dyDescent="0.2"/>
  <cols>
    <col min="1" max="1" width="31.83203125" customWidth="1"/>
    <col min="2" max="2" width="10.1640625" customWidth="1"/>
    <col min="7" max="7" width="10" customWidth="1"/>
  </cols>
  <sheetData>
    <row r="2" spans="1:4" x14ac:dyDescent="0.2">
      <c r="A2" t="s">
        <v>75</v>
      </c>
    </row>
    <row r="3" spans="1:4" x14ac:dyDescent="0.2">
      <c r="A3" s="80"/>
      <c r="B3" s="81" t="s">
        <v>28</v>
      </c>
      <c r="C3" s="81"/>
      <c r="D3" s="82"/>
    </row>
    <row r="4" spans="1:4" x14ac:dyDescent="0.2">
      <c r="A4" s="83"/>
      <c r="D4" s="84"/>
    </row>
    <row r="5" spans="1:4" x14ac:dyDescent="0.2">
      <c r="A5" s="83"/>
      <c r="D5" s="84"/>
    </row>
    <row r="6" spans="1:4" x14ac:dyDescent="0.2">
      <c r="A6" s="111" t="s">
        <v>30</v>
      </c>
      <c r="B6" t="s">
        <v>29</v>
      </c>
      <c r="C6" t="s">
        <v>31</v>
      </c>
      <c r="D6" s="84" t="s">
        <v>32</v>
      </c>
    </row>
    <row r="7" spans="1:4" x14ac:dyDescent="0.2">
      <c r="A7" s="83">
        <f>'RND 1 STBL'!AD14</f>
        <v>1</v>
      </c>
      <c r="B7" t="str">
        <f>'RND 1 STBL'!AE14</f>
        <v>STONES</v>
      </c>
      <c r="C7">
        <f>'RND 1 STBL'!AF14</f>
        <v>49</v>
      </c>
      <c r="D7" s="84">
        <f>'RND 1 STBL'!AG14</f>
        <v>24</v>
      </c>
    </row>
    <row r="8" spans="1:4" x14ac:dyDescent="0.2">
      <c r="A8" s="83">
        <f>'RND 1 STBL'!AD15</f>
        <v>2</v>
      </c>
      <c r="B8" t="str">
        <f>'RND 1 STBL'!AE15</f>
        <v>BELLIS</v>
      </c>
      <c r="C8">
        <f>'RND 1 STBL'!AF15</f>
        <v>36</v>
      </c>
      <c r="D8" s="84">
        <f>'RND 1 STBL'!AG15</f>
        <v>21</v>
      </c>
    </row>
    <row r="9" spans="1:4" x14ac:dyDescent="0.2">
      <c r="A9" s="83">
        <f>'RND 1 STBL'!AD16</f>
        <v>3</v>
      </c>
      <c r="B9" t="str">
        <f>'RND 1 STBL'!AE16</f>
        <v>REILLY</v>
      </c>
      <c r="C9">
        <f>'RND 1 STBL'!AF16</f>
        <v>25</v>
      </c>
      <c r="D9" s="84">
        <f>'RND 1 STBL'!AG16</f>
        <v>18</v>
      </c>
    </row>
    <row r="10" spans="1:4" x14ac:dyDescent="0.2">
      <c r="A10" s="83">
        <f>'RND 1 STBL'!AD17</f>
        <v>4</v>
      </c>
      <c r="B10" t="str">
        <f>'RND 1 STBL'!AE17</f>
        <v>FINDLAY</v>
      </c>
      <c r="C10">
        <f>'RND 1 STBL'!AF17</f>
        <v>24</v>
      </c>
      <c r="D10" s="84">
        <f>'RND 1 STBL'!AG17</f>
        <v>15</v>
      </c>
    </row>
    <row r="11" spans="1:4" x14ac:dyDescent="0.2">
      <c r="A11" s="83">
        <f>'RND 1 STBL'!AD18</f>
        <v>5</v>
      </c>
      <c r="B11" t="str">
        <f>'RND 1 STBL'!AE18</f>
        <v>HOLLANDS</v>
      </c>
      <c r="C11">
        <f>'RND 1 STBL'!AF18</f>
        <v>18</v>
      </c>
      <c r="D11" s="84">
        <f>'RND 1 STBL'!AG18</f>
        <v>12</v>
      </c>
    </row>
    <row r="12" spans="1:4" x14ac:dyDescent="0.2">
      <c r="A12" s="83">
        <f>'RND 1 STBL'!AD19</f>
        <v>6</v>
      </c>
      <c r="B12" t="str">
        <f>'RND 1 STBL'!AE19</f>
        <v>DEY</v>
      </c>
      <c r="C12">
        <f>'RND 1 STBL'!AF19</f>
        <v>17</v>
      </c>
      <c r="D12" s="84">
        <f>'RND 1 STBL'!AG19</f>
        <v>7.5</v>
      </c>
    </row>
    <row r="13" spans="1:4" x14ac:dyDescent="0.2">
      <c r="A13" s="83">
        <f>'RND 1 STBL'!AD20</f>
        <v>7</v>
      </c>
      <c r="B13" t="str">
        <f>'RND 1 STBL'!AE20</f>
        <v>DONOVAN</v>
      </c>
      <c r="C13">
        <f>'RND 1 STBL'!AF20</f>
        <v>17</v>
      </c>
      <c r="D13" s="84">
        <f>'RND 1 STBL'!AG20</f>
        <v>7.5</v>
      </c>
    </row>
    <row r="14" spans="1:4" x14ac:dyDescent="0.2">
      <c r="A14" s="83">
        <f>'RND 1 STBL'!AD21</f>
        <v>8</v>
      </c>
      <c r="B14" t="str">
        <f>'RND 1 STBL'!AE21</f>
        <v>LAING</v>
      </c>
      <c r="C14">
        <f>'RND 1 STBL'!AF21</f>
        <v>16</v>
      </c>
      <c r="D14" s="84">
        <f>'RND 1 STBL'!AG21</f>
        <v>3</v>
      </c>
    </row>
    <row r="15" spans="1:4" x14ac:dyDescent="0.2">
      <c r="A15" s="85"/>
      <c r="B15" s="86"/>
      <c r="C15" s="86"/>
      <c r="D15" s="87"/>
    </row>
    <row r="21" spans="1:23" x14ac:dyDescent="0.2">
      <c r="A21" t="s">
        <v>0</v>
      </c>
    </row>
    <row r="22" spans="1:23" x14ac:dyDescent="0.2">
      <c r="A22" s="80" t="s">
        <v>1</v>
      </c>
      <c r="B22" s="77" t="s">
        <v>15</v>
      </c>
      <c r="D22" s="96" t="s">
        <v>25</v>
      </c>
      <c r="E22" s="92">
        <v>1</v>
      </c>
      <c r="F22" s="92">
        <v>2</v>
      </c>
      <c r="G22" s="92">
        <v>3</v>
      </c>
      <c r="H22" s="92">
        <v>4</v>
      </c>
      <c r="I22" s="92">
        <v>5</v>
      </c>
      <c r="J22" s="92">
        <v>6</v>
      </c>
      <c r="K22" s="92">
        <v>7</v>
      </c>
      <c r="L22" s="92">
        <v>8</v>
      </c>
      <c r="M22" s="92">
        <v>9</v>
      </c>
      <c r="N22" s="92">
        <v>10</v>
      </c>
      <c r="O22" s="92">
        <v>11</v>
      </c>
      <c r="P22" s="92">
        <v>12</v>
      </c>
      <c r="Q22" s="92">
        <v>13</v>
      </c>
      <c r="R22" s="92">
        <v>14</v>
      </c>
      <c r="S22" s="92">
        <v>15</v>
      </c>
      <c r="T22" s="92">
        <v>16</v>
      </c>
      <c r="U22" s="92">
        <v>17</v>
      </c>
      <c r="V22" s="92">
        <v>18</v>
      </c>
      <c r="W22" s="88" t="s">
        <v>2</v>
      </c>
    </row>
    <row r="23" spans="1:23" ht="19" x14ac:dyDescent="0.25">
      <c r="A23" s="83"/>
      <c r="B23" s="78"/>
      <c r="D23" s="94" t="s">
        <v>23</v>
      </c>
      <c r="E23" s="93">
        <f>'RND 1 STBL'!C5</f>
        <v>4</v>
      </c>
      <c r="F23" s="93">
        <f>'RND 1 STBL'!D5</f>
        <v>3</v>
      </c>
      <c r="G23" s="93">
        <f>'RND 1 STBL'!E5</f>
        <v>4</v>
      </c>
      <c r="H23" s="93">
        <f>'RND 1 STBL'!F5</f>
        <v>4</v>
      </c>
      <c r="I23" s="93">
        <f>'RND 1 STBL'!G5</f>
        <v>4</v>
      </c>
      <c r="J23" s="93">
        <f>'RND 1 STBL'!H5</f>
        <v>4</v>
      </c>
      <c r="K23" s="93">
        <f>'RND 1 STBL'!I5</f>
        <v>4</v>
      </c>
      <c r="L23" s="93">
        <f>'RND 1 STBL'!J5</f>
        <v>3</v>
      </c>
      <c r="M23" s="93">
        <f>'RND 1 STBL'!K5</f>
        <v>5</v>
      </c>
      <c r="N23" s="93">
        <f>'RND 1 STBL'!L5</f>
        <v>5</v>
      </c>
      <c r="O23" s="93">
        <f>'RND 1 STBL'!M5</f>
        <v>4</v>
      </c>
      <c r="P23" s="93">
        <f>'RND 1 STBL'!N5</f>
        <v>3</v>
      </c>
      <c r="Q23" s="93">
        <f>'RND 1 STBL'!O5</f>
        <v>5</v>
      </c>
      <c r="R23" s="93">
        <f>'RND 1 STBL'!P5</f>
        <v>4</v>
      </c>
      <c r="S23" s="93">
        <f>'RND 1 STBL'!Q5</f>
        <v>5</v>
      </c>
      <c r="T23" s="93">
        <f>'RND 1 STBL'!R5</f>
        <v>4</v>
      </c>
      <c r="U23" s="93">
        <f>'RND 1 STBL'!S5</f>
        <v>3</v>
      </c>
      <c r="V23" s="93">
        <f>'RND 1 STBL'!T5</f>
        <v>4</v>
      </c>
      <c r="W23" s="88"/>
    </row>
    <row r="24" spans="1:23" x14ac:dyDescent="0.2">
      <c r="A24" s="83"/>
      <c r="B24" s="78"/>
      <c r="D24" s="94" t="s">
        <v>24</v>
      </c>
      <c r="E24" s="95">
        <f>'RND 1 STBL'!C6</f>
        <v>9</v>
      </c>
      <c r="F24" s="95">
        <f>'RND 1 STBL'!D6</f>
        <v>13</v>
      </c>
      <c r="G24" s="95">
        <f>'RND 1 STBL'!E6</f>
        <v>5</v>
      </c>
      <c r="H24" s="95">
        <f>'RND 1 STBL'!F6</f>
        <v>1</v>
      </c>
      <c r="I24" s="95">
        <f>'RND 1 STBL'!G6</f>
        <v>11</v>
      </c>
      <c r="J24" s="95">
        <f>'RND 1 STBL'!H6</f>
        <v>15</v>
      </c>
      <c r="K24" s="95">
        <f>'RND 1 STBL'!I6</f>
        <v>7</v>
      </c>
      <c r="L24" s="95">
        <f>'RND 1 STBL'!J6</f>
        <v>17</v>
      </c>
      <c r="M24" s="95">
        <f>'RND 1 STBL'!K6</f>
        <v>3</v>
      </c>
      <c r="N24" s="95">
        <f>'RND 1 STBL'!L6</f>
        <v>4</v>
      </c>
      <c r="O24" s="95">
        <f>'RND 1 STBL'!M6</f>
        <v>14</v>
      </c>
      <c r="P24" s="95">
        <f>'RND 1 STBL'!N6</f>
        <v>16</v>
      </c>
      <c r="Q24" s="95">
        <f>'RND 1 STBL'!O6</f>
        <v>10</v>
      </c>
      <c r="R24" s="95">
        <f>'RND 1 STBL'!P6</f>
        <v>6</v>
      </c>
      <c r="S24" s="95">
        <f>'RND 1 STBL'!Q6</f>
        <v>8</v>
      </c>
      <c r="T24" s="95">
        <f>'RND 1 STBL'!R6</f>
        <v>12</v>
      </c>
      <c r="U24" s="95">
        <f>'RND 1 STBL'!S6</f>
        <v>18</v>
      </c>
      <c r="V24" s="95">
        <f>'RND 1 STBL'!T6</f>
        <v>2</v>
      </c>
      <c r="W24" s="88"/>
    </row>
    <row r="25" spans="1:23" x14ac:dyDescent="0.2">
      <c r="B25" s="78"/>
      <c r="D25" s="8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89"/>
    </row>
    <row r="26" spans="1:23" x14ac:dyDescent="0.2">
      <c r="A26" s="83" t="str">
        <f>'RND 1 STBL'!A7</f>
        <v>BELLIS</v>
      </c>
      <c r="B26" s="78">
        <f>'RND 1 STBL'!B7</f>
        <v>18</v>
      </c>
      <c r="D26" s="83"/>
      <c r="E26" s="1">
        <f>'RND 1 STBL'!C7</f>
        <v>5</v>
      </c>
      <c r="F26" s="1">
        <f>'RND 1 STBL'!D7</f>
        <v>5</v>
      </c>
      <c r="G26" s="1">
        <f>'RND 1 STBL'!E7</f>
        <v>5</v>
      </c>
      <c r="H26" s="1">
        <f>'RND 1 STBL'!F7</f>
        <v>5</v>
      </c>
      <c r="I26" s="1">
        <f>'RND 1 STBL'!G7</f>
        <v>5</v>
      </c>
      <c r="J26" s="1">
        <f>'RND 1 STBL'!H7</f>
        <v>5</v>
      </c>
      <c r="K26" s="1">
        <f>'RND 1 STBL'!I7</f>
        <v>5</v>
      </c>
      <c r="L26" s="1">
        <f>'RND 1 STBL'!J7</f>
        <v>5</v>
      </c>
      <c r="M26" s="1">
        <f>'RND 1 STBL'!K7</f>
        <v>5</v>
      </c>
      <c r="N26" s="1">
        <f>'RND 1 STBL'!L7</f>
        <v>5</v>
      </c>
      <c r="O26" s="1">
        <f>'RND 1 STBL'!M7</f>
        <v>5</v>
      </c>
      <c r="P26" s="1">
        <f>'RND 1 STBL'!N7</f>
        <v>5</v>
      </c>
      <c r="Q26" s="1">
        <f>'RND 1 STBL'!O7</f>
        <v>5</v>
      </c>
      <c r="R26" s="1">
        <f>'RND 1 STBL'!P7</f>
        <v>5</v>
      </c>
      <c r="S26" s="1">
        <f>'RND 1 STBL'!Q7</f>
        <v>5</v>
      </c>
      <c r="T26" s="1">
        <f>'RND 1 STBL'!R7</f>
        <v>5</v>
      </c>
      <c r="U26" s="1">
        <f>'RND 1 STBL'!S7</f>
        <v>5</v>
      </c>
      <c r="V26" s="1">
        <f>'RND 1 STBL'!T7</f>
        <v>5</v>
      </c>
      <c r="W26" s="89">
        <f>'RND 1 STBL'!U7</f>
        <v>90</v>
      </c>
    </row>
    <row r="27" spans="1:23" x14ac:dyDescent="0.2">
      <c r="A27" s="83" t="str">
        <f>'RND 1 STBL'!A8</f>
        <v>DEY</v>
      </c>
      <c r="B27" s="78">
        <f>'RND 1 STBL'!B8</f>
        <v>18</v>
      </c>
      <c r="D27" s="83"/>
      <c r="E27" s="1">
        <f>'RND 1 STBL'!C8</f>
        <v>5</v>
      </c>
      <c r="F27" s="1">
        <f>'RND 1 STBL'!D8</f>
        <v>9</v>
      </c>
      <c r="G27" s="1">
        <f>'RND 1 STBL'!E8</f>
        <v>6</v>
      </c>
      <c r="H27" s="1">
        <f>'RND 1 STBL'!F8</f>
        <v>9</v>
      </c>
      <c r="I27" s="1">
        <f>'RND 1 STBL'!G8</f>
        <v>6</v>
      </c>
      <c r="J27" s="1">
        <f>'RND 1 STBL'!H8</f>
        <v>9</v>
      </c>
      <c r="K27" s="1">
        <f>'RND 1 STBL'!I8</f>
        <v>6</v>
      </c>
      <c r="L27" s="1">
        <f>'RND 1 STBL'!J8</f>
        <v>9</v>
      </c>
      <c r="M27" s="1">
        <f>'RND 1 STBL'!K8</f>
        <v>0</v>
      </c>
      <c r="N27" s="1">
        <f>'RND 1 STBL'!L8</f>
        <v>0</v>
      </c>
      <c r="O27" s="1">
        <f>'RND 1 STBL'!M8</f>
        <v>0</v>
      </c>
      <c r="P27" s="1">
        <f>'RND 1 STBL'!N8</f>
        <v>0</v>
      </c>
      <c r="Q27" s="1">
        <f>'RND 1 STBL'!O8</f>
        <v>0</v>
      </c>
      <c r="R27" s="1">
        <f>'RND 1 STBL'!P8</f>
        <v>0</v>
      </c>
      <c r="S27" s="1">
        <f>'RND 1 STBL'!Q8</f>
        <v>0</v>
      </c>
      <c r="T27" s="1">
        <f>'RND 1 STBL'!R8</f>
        <v>0</v>
      </c>
      <c r="U27" s="1">
        <f>'RND 1 STBL'!S8</f>
        <v>0</v>
      </c>
      <c r="V27" s="1">
        <f>'RND 1 STBL'!T8</f>
        <v>0</v>
      </c>
      <c r="W27" s="89">
        <f>'RND 1 STBL'!U8</f>
        <v>59</v>
      </c>
    </row>
    <row r="28" spans="1:23" x14ac:dyDescent="0.2">
      <c r="A28" s="83" t="str">
        <f>'RND 1 STBL'!A9</f>
        <v>DONOVAN</v>
      </c>
      <c r="B28" s="78">
        <f>'RND 1 STBL'!B9</f>
        <v>18</v>
      </c>
      <c r="D28" s="83"/>
      <c r="E28" s="1">
        <f>'RND 1 STBL'!C9</f>
        <v>5</v>
      </c>
      <c r="F28" s="1">
        <f>'RND 1 STBL'!D9</f>
        <v>9</v>
      </c>
      <c r="G28" s="1">
        <f>'RND 1 STBL'!E9</f>
        <v>6</v>
      </c>
      <c r="H28" s="1">
        <f>'RND 1 STBL'!F9</f>
        <v>9</v>
      </c>
      <c r="I28" s="1">
        <f>'RND 1 STBL'!G9</f>
        <v>6</v>
      </c>
      <c r="J28" s="1">
        <f>'RND 1 STBL'!H9</f>
        <v>9</v>
      </c>
      <c r="K28" s="1">
        <f>'RND 1 STBL'!I9</f>
        <v>6</v>
      </c>
      <c r="L28" s="1">
        <f>'RND 1 STBL'!J9</f>
        <v>9</v>
      </c>
      <c r="M28" s="1">
        <f>'RND 1 STBL'!K9</f>
        <v>0</v>
      </c>
      <c r="N28" s="1">
        <f>'RND 1 STBL'!L9</f>
        <v>0</v>
      </c>
      <c r="O28" s="1">
        <f>'RND 1 STBL'!M9</f>
        <v>0</v>
      </c>
      <c r="P28" s="1">
        <f>'RND 1 STBL'!N9</f>
        <v>0</v>
      </c>
      <c r="Q28" s="1">
        <f>'RND 1 STBL'!O9</f>
        <v>0</v>
      </c>
      <c r="R28" s="1">
        <f>'RND 1 STBL'!P9</f>
        <v>0</v>
      </c>
      <c r="S28" s="1">
        <f>'RND 1 STBL'!Q9</f>
        <v>0</v>
      </c>
      <c r="T28" s="1">
        <f>'RND 1 STBL'!R9</f>
        <v>0</v>
      </c>
      <c r="U28" s="1">
        <f>'RND 1 STBL'!S9</f>
        <v>0</v>
      </c>
      <c r="V28" s="1">
        <f>'RND 1 STBL'!T9</f>
        <v>0</v>
      </c>
      <c r="W28" s="89">
        <f>'RND 1 STBL'!U9</f>
        <v>59</v>
      </c>
    </row>
    <row r="29" spans="1:23" x14ac:dyDescent="0.2">
      <c r="A29" s="83" t="str">
        <f>'RND 1 STBL'!A10</f>
        <v>FINDLAY</v>
      </c>
      <c r="B29" s="78">
        <f>'RND 1 STBL'!B10</f>
        <v>18</v>
      </c>
      <c r="D29" s="83"/>
      <c r="E29" s="1">
        <f>'RND 1 STBL'!C10</f>
        <v>5</v>
      </c>
      <c r="F29" s="1">
        <f>'RND 1 STBL'!D10</f>
        <v>4</v>
      </c>
      <c r="G29" s="1">
        <f>'RND 1 STBL'!E10</f>
        <v>6</v>
      </c>
      <c r="H29" s="1">
        <f>'RND 1 STBL'!F10</f>
        <v>4</v>
      </c>
      <c r="I29" s="1">
        <f>'RND 1 STBL'!G10</f>
        <v>6</v>
      </c>
      <c r="J29" s="1">
        <f>'RND 1 STBL'!H10</f>
        <v>9</v>
      </c>
      <c r="K29" s="1">
        <f>'RND 1 STBL'!I10</f>
        <v>6</v>
      </c>
      <c r="L29" s="1">
        <f>'RND 1 STBL'!J10</f>
        <v>4</v>
      </c>
      <c r="M29" s="1">
        <f>'RND 1 STBL'!K10</f>
        <v>0</v>
      </c>
      <c r="N29" s="1">
        <f>'RND 1 STBL'!L10</f>
        <v>0</v>
      </c>
      <c r="O29" s="1">
        <f>'RND 1 STBL'!M10</f>
        <v>0</v>
      </c>
      <c r="P29" s="1">
        <f>'RND 1 STBL'!N10</f>
        <v>0</v>
      </c>
      <c r="Q29" s="1">
        <f>'RND 1 STBL'!O10</f>
        <v>0</v>
      </c>
      <c r="R29" s="1">
        <f>'RND 1 STBL'!P10</f>
        <v>0</v>
      </c>
      <c r="S29" s="1">
        <f>'RND 1 STBL'!Q10</f>
        <v>0</v>
      </c>
      <c r="T29" s="1">
        <f>'RND 1 STBL'!R10</f>
        <v>0</v>
      </c>
      <c r="U29" s="1">
        <f>'RND 1 STBL'!S10</f>
        <v>0</v>
      </c>
      <c r="V29" s="1">
        <f>'RND 1 STBL'!T10</f>
        <v>0</v>
      </c>
      <c r="W29" s="89">
        <f>'RND 1 STBL'!U10</f>
        <v>44</v>
      </c>
    </row>
    <row r="30" spans="1:23" x14ac:dyDescent="0.2">
      <c r="A30" s="83" t="str">
        <f>'RND 1 STBL'!A11</f>
        <v>HOLLANDS</v>
      </c>
      <c r="B30" s="78">
        <f>'RND 1 STBL'!B11</f>
        <v>18</v>
      </c>
      <c r="D30" s="83"/>
      <c r="E30" s="1">
        <f>'RND 1 STBL'!C11</f>
        <v>6</v>
      </c>
      <c r="F30" s="1">
        <f>'RND 1 STBL'!D11</f>
        <v>4</v>
      </c>
      <c r="G30" s="1">
        <f>'RND 1 STBL'!E11</f>
        <v>6</v>
      </c>
      <c r="H30" s="1">
        <f>'RND 1 STBL'!F11</f>
        <v>9</v>
      </c>
      <c r="I30" s="1">
        <f>'RND 1 STBL'!G11</f>
        <v>6</v>
      </c>
      <c r="J30" s="1">
        <f>'RND 1 STBL'!H11</f>
        <v>9</v>
      </c>
      <c r="K30" s="1">
        <f>'RND 1 STBL'!I11</f>
        <v>6</v>
      </c>
      <c r="L30" s="1">
        <f>'RND 1 STBL'!J11</f>
        <v>9</v>
      </c>
      <c r="M30" s="1">
        <f>'RND 1 STBL'!K11</f>
        <v>0</v>
      </c>
      <c r="N30" s="1">
        <f>'RND 1 STBL'!L11</f>
        <v>0</v>
      </c>
      <c r="O30" s="1">
        <f>'RND 1 STBL'!M11</f>
        <v>0</v>
      </c>
      <c r="P30" s="1">
        <f>'RND 1 STBL'!N11</f>
        <v>0</v>
      </c>
      <c r="Q30" s="1">
        <f>'RND 1 STBL'!O11</f>
        <v>0</v>
      </c>
      <c r="R30" s="1">
        <f>'RND 1 STBL'!P11</f>
        <v>0</v>
      </c>
      <c r="S30" s="1">
        <f>'RND 1 STBL'!Q11</f>
        <v>0</v>
      </c>
      <c r="T30" s="1">
        <f>'RND 1 STBL'!R11</f>
        <v>0</v>
      </c>
      <c r="U30" s="1">
        <f>'RND 1 STBL'!S11</f>
        <v>0</v>
      </c>
      <c r="V30" s="1">
        <f>'RND 1 STBL'!T11</f>
        <v>0</v>
      </c>
      <c r="W30" s="89">
        <f>'RND 1 STBL'!U11</f>
        <v>55</v>
      </c>
    </row>
    <row r="31" spans="1:23" x14ac:dyDescent="0.2">
      <c r="A31" s="83" t="str">
        <f>'RND 1 STBL'!A12</f>
        <v>LAING</v>
      </c>
      <c r="B31" s="78">
        <f>'RND 1 STBL'!B12</f>
        <v>18</v>
      </c>
      <c r="D31" s="83"/>
      <c r="E31" s="1">
        <f>'RND 1 STBL'!C12</f>
        <v>6</v>
      </c>
      <c r="F31" s="1">
        <f>'RND 1 STBL'!D12</f>
        <v>9</v>
      </c>
      <c r="G31" s="1">
        <f>'RND 1 STBL'!E12</f>
        <v>6</v>
      </c>
      <c r="H31" s="1">
        <f>'RND 1 STBL'!F12</f>
        <v>9</v>
      </c>
      <c r="I31" s="1">
        <f>'RND 1 STBL'!G12</f>
        <v>6</v>
      </c>
      <c r="J31" s="1">
        <f>'RND 1 STBL'!H12</f>
        <v>9</v>
      </c>
      <c r="K31" s="1">
        <f>'RND 1 STBL'!I12</f>
        <v>6</v>
      </c>
      <c r="L31" s="1">
        <f>'RND 1 STBL'!J12</f>
        <v>9</v>
      </c>
      <c r="M31" s="1">
        <f>'RND 1 STBL'!K12</f>
        <v>0</v>
      </c>
      <c r="N31" s="1">
        <f>'RND 1 STBL'!L12</f>
        <v>0</v>
      </c>
      <c r="O31" s="1">
        <f>'RND 1 STBL'!M12</f>
        <v>0</v>
      </c>
      <c r="P31" s="1">
        <f>'RND 1 STBL'!N12</f>
        <v>0</v>
      </c>
      <c r="Q31" s="1">
        <f>'RND 1 STBL'!O12</f>
        <v>0</v>
      </c>
      <c r="R31" s="1">
        <f>'RND 1 STBL'!P12</f>
        <v>0</v>
      </c>
      <c r="S31" s="1">
        <f>'RND 1 STBL'!Q12</f>
        <v>0</v>
      </c>
      <c r="T31" s="1">
        <f>'RND 1 STBL'!R12</f>
        <v>0</v>
      </c>
      <c r="U31" s="1">
        <f>'RND 1 STBL'!S12</f>
        <v>0</v>
      </c>
      <c r="V31" s="1">
        <f>'RND 1 STBL'!T12</f>
        <v>0</v>
      </c>
      <c r="W31" s="89">
        <f>'RND 1 STBL'!U12</f>
        <v>60</v>
      </c>
    </row>
    <row r="32" spans="1:23" x14ac:dyDescent="0.2">
      <c r="A32" s="83" t="str">
        <f>'RND 1 STBL'!A13</f>
        <v>REILLY</v>
      </c>
      <c r="B32" s="78">
        <f>'RND 1 STBL'!B13</f>
        <v>18</v>
      </c>
      <c r="D32" s="83"/>
      <c r="E32" s="1">
        <f>'RND 1 STBL'!C13</f>
        <v>6</v>
      </c>
      <c r="F32" s="1">
        <f>'RND 1 STBL'!D13</f>
        <v>0</v>
      </c>
      <c r="G32" s="1">
        <f>'RND 1 STBL'!E13</f>
        <v>0</v>
      </c>
      <c r="H32" s="1">
        <f>'RND 1 STBL'!F13</f>
        <v>0</v>
      </c>
      <c r="I32" s="1">
        <f>'RND 1 STBL'!G13</f>
        <v>0</v>
      </c>
      <c r="J32" s="1">
        <f>'RND 1 STBL'!H13</f>
        <v>0</v>
      </c>
      <c r="K32" s="1">
        <f>'RND 1 STBL'!I13</f>
        <v>0</v>
      </c>
      <c r="L32" s="1">
        <f>'RND 1 STBL'!J13</f>
        <v>0</v>
      </c>
      <c r="M32" s="1">
        <f>'RND 1 STBL'!K13</f>
        <v>0</v>
      </c>
      <c r="N32" s="1">
        <f>'RND 1 STBL'!L13</f>
        <v>0</v>
      </c>
      <c r="O32" s="1">
        <f>'RND 1 STBL'!M13</f>
        <v>0</v>
      </c>
      <c r="P32" s="1">
        <f>'RND 1 STBL'!N13</f>
        <v>0</v>
      </c>
      <c r="Q32" s="1">
        <f>'RND 1 STBL'!O13</f>
        <v>0</v>
      </c>
      <c r="R32" s="1">
        <f>'RND 1 STBL'!P13</f>
        <v>0</v>
      </c>
      <c r="S32" s="1">
        <f>'RND 1 STBL'!Q13</f>
        <v>0</v>
      </c>
      <c r="T32" s="1">
        <f>'RND 1 STBL'!R13</f>
        <v>0</v>
      </c>
      <c r="U32" s="1">
        <f>'RND 1 STBL'!S13</f>
        <v>0</v>
      </c>
      <c r="V32" s="1">
        <f>'RND 1 STBL'!T13</f>
        <v>0</v>
      </c>
      <c r="W32" s="89">
        <f>'RND 1 STBL'!U13</f>
        <v>6</v>
      </c>
    </row>
    <row r="33" spans="1:23" x14ac:dyDescent="0.2">
      <c r="A33" s="85" t="str">
        <f>'RND 1 STBL'!A14</f>
        <v>STONES</v>
      </c>
      <c r="B33" s="79">
        <f>'RND 1 STBL'!B14</f>
        <v>18</v>
      </c>
      <c r="D33" s="85"/>
      <c r="E33" s="90">
        <f>'RND 1 STBL'!C14</f>
        <v>6</v>
      </c>
      <c r="F33" s="90">
        <f>'RND 1 STBL'!D14</f>
        <v>4</v>
      </c>
      <c r="G33" s="90">
        <f>'RND 1 STBL'!E14</f>
        <v>4</v>
      </c>
      <c r="H33" s="90">
        <f>'RND 1 STBL'!F14</f>
        <v>7</v>
      </c>
      <c r="I33" s="90">
        <f>'RND 1 STBL'!G14</f>
        <v>4</v>
      </c>
      <c r="J33" s="90">
        <f>'RND 1 STBL'!H14</f>
        <v>4</v>
      </c>
      <c r="K33" s="90">
        <f>'RND 1 STBL'!I14</f>
        <v>4</v>
      </c>
      <c r="L33" s="90">
        <f>'RND 1 STBL'!J14</f>
        <v>4</v>
      </c>
      <c r="M33" s="90">
        <f>'RND 1 STBL'!K14</f>
        <v>4</v>
      </c>
      <c r="N33" s="90">
        <f>'RND 1 STBL'!L14</f>
        <v>4</v>
      </c>
      <c r="O33" s="90">
        <f>'RND 1 STBL'!M14</f>
        <v>4</v>
      </c>
      <c r="P33" s="90">
        <f>'RND 1 STBL'!N14</f>
        <v>4</v>
      </c>
      <c r="Q33" s="90">
        <f>'RND 1 STBL'!O14</f>
        <v>4</v>
      </c>
      <c r="R33" s="90">
        <f>'RND 1 STBL'!P14</f>
        <v>4</v>
      </c>
      <c r="S33" s="90">
        <f>'RND 1 STBL'!Q14</f>
        <v>4</v>
      </c>
      <c r="T33" s="90">
        <f>'RND 1 STBL'!R14</f>
        <v>4</v>
      </c>
      <c r="U33" s="90">
        <f>'RND 1 STBL'!S14</f>
        <v>4</v>
      </c>
      <c r="V33" s="90">
        <f>'RND 1 STBL'!T14</f>
        <v>4</v>
      </c>
      <c r="W33" s="91">
        <f>'RND 1 STBL'!U14</f>
        <v>77</v>
      </c>
    </row>
    <row r="37" spans="1:23" x14ac:dyDescent="0.2">
      <c r="A37" t="s">
        <v>26</v>
      </c>
    </row>
    <row r="38" spans="1:23" x14ac:dyDescent="0.2">
      <c r="A38" s="80" t="s">
        <v>1</v>
      </c>
      <c r="B38" s="77" t="s">
        <v>15</v>
      </c>
      <c r="D38" s="96" t="s">
        <v>25</v>
      </c>
      <c r="E38" s="92">
        <v>1</v>
      </c>
      <c r="F38" s="92">
        <v>2</v>
      </c>
      <c r="G38" s="92">
        <v>3</v>
      </c>
      <c r="H38" s="92">
        <v>4</v>
      </c>
      <c r="I38" s="92">
        <v>5</v>
      </c>
      <c r="J38" s="92">
        <v>6</v>
      </c>
      <c r="K38" s="92">
        <v>7</v>
      </c>
      <c r="L38" s="92">
        <v>8</v>
      </c>
      <c r="M38" s="92">
        <v>9</v>
      </c>
      <c r="N38" s="92">
        <v>10</v>
      </c>
      <c r="O38" s="92">
        <v>11</v>
      </c>
      <c r="P38" s="92">
        <v>12</v>
      </c>
      <c r="Q38" s="92">
        <v>13</v>
      </c>
      <c r="R38" s="92">
        <v>14</v>
      </c>
      <c r="S38" s="92">
        <v>15</v>
      </c>
      <c r="T38" s="92">
        <v>16</v>
      </c>
      <c r="U38" s="92">
        <v>17</v>
      </c>
      <c r="V38" s="92">
        <v>18</v>
      </c>
      <c r="W38" s="88" t="s">
        <v>2</v>
      </c>
    </row>
    <row r="39" spans="1:23" ht="19" x14ac:dyDescent="0.25">
      <c r="A39" s="83"/>
      <c r="B39" s="78"/>
      <c r="D39" s="94" t="s">
        <v>23</v>
      </c>
      <c r="E39" s="93">
        <f>E23</f>
        <v>4</v>
      </c>
      <c r="F39" s="93">
        <f t="shared" ref="F39:V39" si="0">F23</f>
        <v>3</v>
      </c>
      <c r="G39" s="93">
        <f t="shared" si="0"/>
        <v>4</v>
      </c>
      <c r="H39" s="93">
        <f t="shared" si="0"/>
        <v>4</v>
      </c>
      <c r="I39" s="93">
        <f t="shared" si="0"/>
        <v>4</v>
      </c>
      <c r="J39" s="93">
        <f t="shared" si="0"/>
        <v>4</v>
      </c>
      <c r="K39" s="93">
        <f t="shared" si="0"/>
        <v>4</v>
      </c>
      <c r="L39" s="93">
        <f t="shared" si="0"/>
        <v>3</v>
      </c>
      <c r="M39" s="93">
        <f t="shared" si="0"/>
        <v>5</v>
      </c>
      <c r="N39" s="93">
        <f t="shared" si="0"/>
        <v>5</v>
      </c>
      <c r="O39" s="93">
        <f t="shared" si="0"/>
        <v>4</v>
      </c>
      <c r="P39" s="93">
        <f t="shared" si="0"/>
        <v>3</v>
      </c>
      <c r="Q39" s="93">
        <f t="shared" si="0"/>
        <v>5</v>
      </c>
      <c r="R39" s="93">
        <f t="shared" si="0"/>
        <v>4</v>
      </c>
      <c r="S39" s="93">
        <f t="shared" si="0"/>
        <v>5</v>
      </c>
      <c r="T39" s="93">
        <f t="shared" si="0"/>
        <v>4</v>
      </c>
      <c r="U39" s="93">
        <f t="shared" si="0"/>
        <v>3</v>
      </c>
      <c r="V39" s="93">
        <f t="shared" si="0"/>
        <v>4</v>
      </c>
      <c r="W39" s="88"/>
    </row>
    <row r="40" spans="1:23" x14ac:dyDescent="0.2">
      <c r="A40" s="83"/>
      <c r="B40" s="78"/>
      <c r="D40" s="94" t="s">
        <v>24</v>
      </c>
      <c r="E40" s="95">
        <f>E24</f>
        <v>9</v>
      </c>
      <c r="F40" s="95">
        <f t="shared" ref="F40:V40" si="1">F24</f>
        <v>13</v>
      </c>
      <c r="G40" s="95">
        <f t="shared" si="1"/>
        <v>5</v>
      </c>
      <c r="H40" s="95">
        <f t="shared" si="1"/>
        <v>1</v>
      </c>
      <c r="I40" s="95">
        <f t="shared" si="1"/>
        <v>11</v>
      </c>
      <c r="J40" s="95">
        <f t="shared" si="1"/>
        <v>15</v>
      </c>
      <c r="K40" s="95">
        <f t="shared" si="1"/>
        <v>7</v>
      </c>
      <c r="L40" s="95">
        <f t="shared" si="1"/>
        <v>17</v>
      </c>
      <c r="M40" s="95">
        <f t="shared" si="1"/>
        <v>3</v>
      </c>
      <c r="N40" s="95">
        <f t="shared" si="1"/>
        <v>4</v>
      </c>
      <c r="O40" s="95">
        <f t="shared" si="1"/>
        <v>14</v>
      </c>
      <c r="P40" s="95">
        <f t="shared" si="1"/>
        <v>16</v>
      </c>
      <c r="Q40" s="95">
        <f t="shared" si="1"/>
        <v>10</v>
      </c>
      <c r="R40" s="95">
        <f t="shared" si="1"/>
        <v>6</v>
      </c>
      <c r="S40" s="95">
        <f t="shared" si="1"/>
        <v>8</v>
      </c>
      <c r="T40" s="95">
        <f t="shared" si="1"/>
        <v>12</v>
      </c>
      <c r="U40" s="95">
        <f t="shared" si="1"/>
        <v>18</v>
      </c>
      <c r="V40" s="95">
        <f t="shared" si="1"/>
        <v>2</v>
      </c>
      <c r="W40" s="88"/>
    </row>
    <row r="41" spans="1:23" x14ac:dyDescent="0.2">
      <c r="B41" s="78"/>
      <c r="D41" s="8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89"/>
    </row>
    <row r="42" spans="1:23" x14ac:dyDescent="0.2">
      <c r="A42" s="83" t="str">
        <f>A26</f>
        <v>BELLIS</v>
      </c>
      <c r="B42" s="78">
        <f>B26</f>
        <v>18</v>
      </c>
      <c r="D42" s="83"/>
      <c r="E42" s="1">
        <f>'RND 1 STBL'!C55</f>
        <v>2</v>
      </c>
      <c r="F42" s="1">
        <f>'RND 1 STBL'!D55</f>
        <v>1</v>
      </c>
      <c r="G42" s="1">
        <f>'RND 1 STBL'!E55</f>
        <v>2</v>
      </c>
      <c r="H42" s="1">
        <f>'RND 1 STBL'!F55</f>
        <v>2</v>
      </c>
      <c r="I42" s="1">
        <f>'RND 1 STBL'!G55</f>
        <v>2</v>
      </c>
      <c r="J42" s="1">
        <f>'RND 1 STBL'!H55</f>
        <v>2</v>
      </c>
      <c r="K42" s="1">
        <f>'RND 1 STBL'!I55</f>
        <v>2</v>
      </c>
      <c r="L42" s="1">
        <f>'RND 1 STBL'!J55</f>
        <v>1</v>
      </c>
      <c r="M42" s="1">
        <f>'RND 1 STBL'!K55</f>
        <v>3</v>
      </c>
      <c r="N42" s="1">
        <f>'RND 1 STBL'!L55</f>
        <v>3</v>
      </c>
      <c r="O42" s="1">
        <f>'RND 1 STBL'!M55</f>
        <v>2</v>
      </c>
      <c r="P42" s="1">
        <f>'RND 1 STBL'!N55</f>
        <v>1</v>
      </c>
      <c r="Q42" s="1">
        <f>'RND 1 STBL'!O55</f>
        <v>3</v>
      </c>
      <c r="R42" s="1">
        <f>'RND 1 STBL'!P55</f>
        <v>2</v>
      </c>
      <c r="S42" s="1">
        <f>'RND 1 STBL'!Q55</f>
        <v>3</v>
      </c>
      <c r="T42" s="1">
        <f>'RND 1 STBL'!R55</f>
        <v>2</v>
      </c>
      <c r="U42" s="1">
        <f>'RND 1 STBL'!S55</f>
        <v>1</v>
      </c>
      <c r="V42" s="1">
        <f>'RND 1 STBL'!T55</f>
        <v>2</v>
      </c>
      <c r="W42" s="89">
        <f>'RND 1 STBL'!U55</f>
        <v>36</v>
      </c>
    </row>
    <row r="43" spans="1:23" x14ac:dyDescent="0.2">
      <c r="A43" s="83" t="str">
        <f t="shared" ref="A43:B43" si="2">A27</f>
        <v>DEY</v>
      </c>
      <c r="B43" s="78">
        <f t="shared" si="2"/>
        <v>18</v>
      </c>
      <c r="D43" s="83"/>
      <c r="E43" s="1">
        <f>'RND 1 STBL'!C56</f>
        <v>2</v>
      </c>
      <c r="F43" s="1">
        <f>'RND 1 STBL'!D56</f>
        <v>0</v>
      </c>
      <c r="G43" s="1">
        <f>'RND 1 STBL'!E56</f>
        <v>1</v>
      </c>
      <c r="H43" s="1">
        <f>'RND 1 STBL'!F56</f>
        <v>0</v>
      </c>
      <c r="I43" s="1">
        <f>'RND 1 STBL'!G56</f>
        <v>1</v>
      </c>
      <c r="J43" s="1">
        <f>'RND 1 STBL'!H56</f>
        <v>0</v>
      </c>
      <c r="K43" s="1">
        <f>'RND 1 STBL'!I56</f>
        <v>1</v>
      </c>
      <c r="L43" s="1">
        <f>'RND 1 STBL'!J56</f>
        <v>0</v>
      </c>
      <c r="M43" s="1">
        <f>'RND 1 STBL'!K56</f>
        <v>0</v>
      </c>
      <c r="N43" s="1">
        <f>'RND 1 STBL'!L56</f>
        <v>0</v>
      </c>
      <c r="O43" s="1">
        <f>'RND 1 STBL'!M56</f>
        <v>0</v>
      </c>
      <c r="P43" s="1">
        <f>'RND 1 STBL'!N56</f>
        <v>6</v>
      </c>
      <c r="Q43" s="1">
        <f>'RND 1 STBL'!O56</f>
        <v>0</v>
      </c>
      <c r="R43" s="1">
        <f>'RND 1 STBL'!P56</f>
        <v>0</v>
      </c>
      <c r="S43" s="1">
        <f>'RND 1 STBL'!Q56</f>
        <v>0</v>
      </c>
      <c r="T43" s="1">
        <f>'RND 1 STBL'!R56</f>
        <v>0</v>
      </c>
      <c r="U43" s="1">
        <f>'RND 1 STBL'!S56</f>
        <v>6</v>
      </c>
      <c r="V43" s="1">
        <f>'RND 1 STBL'!T56</f>
        <v>0</v>
      </c>
      <c r="W43" s="89">
        <f>'RND 1 STBL'!U56</f>
        <v>17</v>
      </c>
    </row>
    <row r="44" spans="1:23" x14ac:dyDescent="0.2">
      <c r="A44" s="83" t="str">
        <f t="shared" ref="A44:B44" si="3">A28</f>
        <v>DONOVAN</v>
      </c>
      <c r="B44" s="78">
        <f t="shared" si="3"/>
        <v>18</v>
      </c>
      <c r="D44" s="83"/>
      <c r="E44" s="1">
        <f>'RND 1 STBL'!C57</f>
        <v>2</v>
      </c>
      <c r="F44" s="1">
        <f>'RND 1 STBL'!D57</f>
        <v>0</v>
      </c>
      <c r="G44" s="1">
        <f>'RND 1 STBL'!E57</f>
        <v>1</v>
      </c>
      <c r="H44" s="1">
        <f>'RND 1 STBL'!F57</f>
        <v>0</v>
      </c>
      <c r="I44" s="1">
        <f>'RND 1 STBL'!G57</f>
        <v>1</v>
      </c>
      <c r="J44" s="1">
        <f>'RND 1 STBL'!H57</f>
        <v>0</v>
      </c>
      <c r="K44" s="1">
        <f>'RND 1 STBL'!I57</f>
        <v>1</v>
      </c>
      <c r="L44" s="1">
        <f>'RND 1 STBL'!J57</f>
        <v>0</v>
      </c>
      <c r="M44" s="1">
        <f>'RND 1 STBL'!K57</f>
        <v>0</v>
      </c>
      <c r="N44" s="1">
        <f>'RND 1 STBL'!L57</f>
        <v>0</v>
      </c>
      <c r="O44" s="1">
        <f>'RND 1 STBL'!M57</f>
        <v>0</v>
      </c>
      <c r="P44" s="1">
        <f>'RND 1 STBL'!N57</f>
        <v>6</v>
      </c>
      <c r="Q44" s="1">
        <f>'RND 1 STBL'!O57</f>
        <v>0</v>
      </c>
      <c r="R44" s="1">
        <f>'RND 1 STBL'!P57</f>
        <v>0</v>
      </c>
      <c r="S44" s="1">
        <f>'RND 1 STBL'!Q57</f>
        <v>0</v>
      </c>
      <c r="T44" s="1">
        <f>'RND 1 STBL'!R57</f>
        <v>0</v>
      </c>
      <c r="U44" s="1">
        <f>'RND 1 STBL'!S57</f>
        <v>6</v>
      </c>
      <c r="V44" s="1">
        <f>'RND 1 STBL'!T57</f>
        <v>0</v>
      </c>
      <c r="W44" s="89">
        <f>'RND 1 STBL'!U57</f>
        <v>17</v>
      </c>
    </row>
    <row r="45" spans="1:23" x14ac:dyDescent="0.2">
      <c r="A45" s="83" t="str">
        <f t="shared" ref="A45:B45" si="4">A29</f>
        <v>FINDLAY</v>
      </c>
      <c r="B45" s="78">
        <f t="shared" si="4"/>
        <v>18</v>
      </c>
      <c r="D45" s="83"/>
      <c r="E45" s="1">
        <f>'RND 1 STBL'!C58</f>
        <v>2</v>
      </c>
      <c r="F45" s="1">
        <f>'RND 1 STBL'!D58</f>
        <v>2</v>
      </c>
      <c r="G45" s="1">
        <f>'RND 1 STBL'!E58</f>
        <v>1</v>
      </c>
      <c r="H45" s="1">
        <f>'RND 1 STBL'!F58</f>
        <v>3</v>
      </c>
      <c r="I45" s="1">
        <f>'RND 1 STBL'!G58</f>
        <v>1</v>
      </c>
      <c r="J45" s="1">
        <f>'RND 1 STBL'!H58</f>
        <v>0</v>
      </c>
      <c r="K45" s="1">
        <f>'RND 1 STBL'!I58</f>
        <v>1</v>
      </c>
      <c r="L45" s="1">
        <f>'RND 1 STBL'!J58</f>
        <v>2</v>
      </c>
      <c r="M45" s="1">
        <f>'RND 1 STBL'!K58</f>
        <v>0</v>
      </c>
      <c r="N45" s="1">
        <f>'RND 1 STBL'!L58</f>
        <v>0</v>
      </c>
      <c r="O45" s="1">
        <f>'RND 1 STBL'!M58</f>
        <v>0</v>
      </c>
      <c r="P45" s="1">
        <f>'RND 1 STBL'!N58</f>
        <v>6</v>
      </c>
      <c r="Q45" s="1">
        <f>'RND 1 STBL'!O58</f>
        <v>0</v>
      </c>
      <c r="R45" s="1">
        <f>'RND 1 STBL'!P58</f>
        <v>0</v>
      </c>
      <c r="S45" s="1">
        <f>'RND 1 STBL'!Q58</f>
        <v>0</v>
      </c>
      <c r="T45" s="1">
        <f>'RND 1 STBL'!R58</f>
        <v>0</v>
      </c>
      <c r="U45" s="1">
        <f>'RND 1 STBL'!S58</f>
        <v>6</v>
      </c>
      <c r="V45" s="1">
        <f>'RND 1 STBL'!T58</f>
        <v>0</v>
      </c>
      <c r="W45" s="89">
        <f>'RND 1 STBL'!U58</f>
        <v>24</v>
      </c>
    </row>
    <row r="46" spans="1:23" x14ac:dyDescent="0.2">
      <c r="A46" s="83" t="str">
        <f t="shared" ref="A46:B46" si="5">A30</f>
        <v>HOLLANDS</v>
      </c>
      <c r="B46" s="78">
        <f t="shared" si="5"/>
        <v>18</v>
      </c>
      <c r="D46" s="83"/>
      <c r="E46" s="1">
        <f>'RND 1 STBL'!C59</f>
        <v>1</v>
      </c>
      <c r="F46" s="1">
        <f>'RND 1 STBL'!D59</f>
        <v>2</v>
      </c>
      <c r="G46" s="1">
        <f>'RND 1 STBL'!E59</f>
        <v>1</v>
      </c>
      <c r="H46" s="1">
        <f>'RND 1 STBL'!F59</f>
        <v>0</v>
      </c>
      <c r="I46" s="1">
        <f>'RND 1 STBL'!G59</f>
        <v>1</v>
      </c>
      <c r="J46" s="1">
        <f>'RND 1 STBL'!H59</f>
        <v>0</v>
      </c>
      <c r="K46" s="1">
        <f>'RND 1 STBL'!I59</f>
        <v>1</v>
      </c>
      <c r="L46" s="1">
        <f>'RND 1 STBL'!J59</f>
        <v>0</v>
      </c>
      <c r="M46" s="1">
        <f>'RND 1 STBL'!K59</f>
        <v>0</v>
      </c>
      <c r="N46" s="1">
        <f>'RND 1 STBL'!L59</f>
        <v>0</v>
      </c>
      <c r="O46" s="1">
        <f>'RND 1 STBL'!M59</f>
        <v>0</v>
      </c>
      <c r="P46" s="1">
        <f>'RND 1 STBL'!N59</f>
        <v>6</v>
      </c>
      <c r="Q46" s="1">
        <f>'RND 1 STBL'!O59</f>
        <v>0</v>
      </c>
      <c r="R46" s="1">
        <f>'RND 1 STBL'!P59</f>
        <v>0</v>
      </c>
      <c r="S46" s="1">
        <f>'RND 1 STBL'!Q59</f>
        <v>0</v>
      </c>
      <c r="T46" s="1">
        <f>'RND 1 STBL'!R59</f>
        <v>0</v>
      </c>
      <c r="U46" s="1">
        <f>'RND 1 STBL'!S59</f>
        <v>6</v>
      </c>
      <c r="V46" s="1">
        <f>'RND 1 STBL'!T59</f>
        <v>0</v>
      </c>
      <c r="W46" s="89">
        <f>'RND 1 STBL'!U59</f>
        <v>18</v>
      </c>
    </row>
    <row r="47" spans="1:23" x14ac:dyDescent="0.2">
      <c r="A47" s="83" t="str">
        <f t="shared" ref="A47:B47" si="6">A31</f>
        <v>LAING</v>
      </c>
      <c r="B47" s="78">
        <f t="shared" si="6"/>
        <v>18</v>
      </c>
      <c r="D47" s="83"/>
      <c r="E47" s="1">
        <f>'RND 1 STBL'!C60</f>
        <v>1</v>
      </c>
      <c r="F47" s="1">
        <f>'RND 1 STBL'!D60</f>
        <v>0</v>
      </c>
      <c r="G47" s="1">
        <f>'RND 1 STBL'!E60</f>
        <v>1</v>
      </c>
      <c r="H47" s="1">
        <f>'RND 1 STBL'!F60</f>
        <v>0</v>
      </c>
      <c r="I47" s="1">
        <f>'RND 1 STBL'!G60</f>
        <v>1</v>
      </c>
      <c r="J47" s="1">
        <f>'RND 1 STBL'!H60</f>
        <v>0</v>
      </c>
      <c r="K47" s="1">
        <f>'RND 1 STBL'!I60</f>
        <v>1</v>
      </c>
      <c r="L47" s="1">
        <f>'RND 1 STBL'!J60</f>
        <v>0</v>
      </c>
      <c r="M47" s="1">
        <f>'RND 1 STBL'!K60</f>
        <v>0</v>
      </c>
      <c r="N47" s="1">
        <f>'RND 1 STBL'!L60</f>
        <v>0</v>
      </c>
      <c r="O47" s="1">
        <f>'RND 1 STBL'!M60</f>
        <v>0</v>
      </c>
      <c r="P47" s="1">
        <f>'RND 1 STBL'!N60</f>
        <v>6</v>
      </c>
      <c r="Q47" s="1">
        <f>'RND 1 STBL'!O60</f>
        <v>0</v>
      </c>
      <c r="R47" s="1">
        <f>'RND 1 STBL'!P60</f>
        <v>0</v>
      </c>
      <c r="S47" s="1">
        <f>'RND 1 STBL'!Q60</f>
        <v>0</v>
      </c>
      <c r="T47" s="1">
        <f>'RND 1 STBL'!R60</f>
        <v>0</v>
      </c>
      <c r="U47" s="1">
        <f>'RND 1 STBL'!S60</f>
        <v>6</v>
      </c>
      <c r="V47" s="1">
        <f>'RND 1 STBL'!T60</f>
        <v>0</v>
      </c>
      <c r="W47" s="89">
        <f>'RND 1 STBL'!U60</f>
        <v>16</v>
      </c>
    </row>
    <row r="48" spans="1:23" x14ac:dyDescent="0.2">
      <c r="A48" s="83" t="str">
        <f t="shared" ref="A48:B48" si="7">A32</f>
        <v>REILLY</v>
      </c>
      <c r="B48" s="78">
        <f t="shared" si="7"/>
        <v>18</v>
      </c>
      <c r="D48" s="83"/>
      <c r="E48" s="1">
        <f>'RND 1 STBL'!C61</f>
        <v>1</v>
      </c>
      <c r="F48" s="1">
        <f>'RND 1 STBL'!D61</f>
        <v>6</v>
      </c>
      <c r="G48" s="1">
        <f>'RND 1 STBL'!E61</f>
        <v>0</v>
      </c>
      <c r="H48" s="1">
        <f>'RND 1 STBL'!F61</f>
        <v>0</v>
      </c>
      <c r="I48" s="1">
        <f>'RND 1 STBL'!G61</f>
        <v>0</v>
      </c>
      <c r="J48" s="1">
        <f>'RND 1 STBL'!H61</f>
        <v>0</v>
      </c>
      <c r="K48" s="1">
        <f>'RND 1 STBL'!I61</f>
        <v>0</v>
      </c>
      <c r="L48" s="1">
        <f>'RND 1 STBL'!J61</f>
        <v>6</v>
      </c>
      <c r="M48" s="1">
        <f>'RND 1 STBL'!K61</f>
        <v>0</v>
      </c>
      <c r="N48" s="1">
        <f>'RND 1 STBL'!L61</f>
        <v>0</v>
      </c>
      <c r="O48" s="1">
        <f>'RND 1 STBL'!M61</f>
        <v>0</v>
      </c>
      <c r="P48" s="1">
        <f>'RND 1 STBL'!N61</f>
        <v>6</v>
      </c>
      <c r="Q48" s="1">
        <f>'RND 1 STBL'!O61</f>
        <v>0</v>
      </c>
      <c r="R48" s="1">
        <f>'RND 1 STBL'!P61</f>
        <v>0</v>
      </c>
      <c r="S48" s="1">
        <f>'RND 1 STBL'!Q61</f>
        <v>0</v>
      </c>
      <c r="T48" s="1">
        <f>'RND 1 STBL'!R61</f>
        <v>0</v>
      </c>
      <c r="U48" s="1">
        <f>'RND 1 STBL'!S61</f>
        <v>6</v>
      </c>
      <c r="V48" s="1">
        <f>'RND 1 STBL'!T61</f>
        <v>0</v>
      </c>
      <c r="W48" s="89">
        <f>'RND 1 STBL'!U61</f>
        <v>25</v>
      </c>
    </row>
    <row r="49" spans="1:23" x14ac:dyDescent="0.2">
      <c r="A49" s="85" t="str">
        <f t="shared" ref="A49:B49" si="8">A33</f>
        <v>STONES</v>
      </c>
      <c r="B49" s="79">
        <f t="shared" si="8"/>
        <v>18</v>
      </c>
      <c r="D49" s="85"/>
      <c r="E49" s="90">
        <f>'RND 1 STBL'!C62</f>
        <v>1</v>
      </c>
      <c r="F49" s="90">
        <f>'RND 1 STBL'!D62</f>
        <v>2</v>
      </c>
      <c r="G49" s="90">
        <f>'RND 1 STBL'!E62</f>
        <v>3</v>
      </c>
      <c r="H49" s="90">
        <f>'RND 1 STBL'!F62</f>
        <v>0</v>
      </c>
      <c r="I49" s="90">
        <f>'RND 1 STBL'!G62</f>
        <v>3</v>
      </c>
      <c r="J49" s="90">
        <f>'RND 1 STBL'!H62</f>
        <v>3</v>
      </c>
      <c r="K49" s="90">
        <f>'RND 1 STBL'!I62</f>
        <v>3</v>
      </c>
      <c r="L49" s="90">
        <f>'RND 1 STBL'!J62</f>
        <v>2</v>
      </c>
      <c r="M49" s="90">
        <f>'RND 1 STBL'!K62</f>
        <v>4</v>
      </c>
      <c r="N49" s="90">
        <f>'RND 1 STBL'!L62</f>
        <v>4</v>
      </c>
      <c r="O49" s="90">
        <f>'RND 1 STBL'!M62</f>
        <v>3</v>
      </c>
      <c r="P49" s="90">
        <f>'RND 1 STBL'!N62</f>
        <v>2</v>
      </c>
      <c r="Q49" s="90">
        <f>'RND 1 STBL'!O62</f>
        <v>4</v>
      </c>
      <c r="R49" s="90">
        <f>'RND 1 STBL'!P62</f>
        <v>3</v>
      </c>
      <c r="S49" s="90">
        <f>'RND 1 STBL'!Q62</f>
        <v>4</v>
      </c>
      <c r="T49" s="90">
        <f>'RND 1 STBL'!R62</f>
        <v>3</v>
      </c>
      <c r="U49" s="90">
        <f>'RND 1 STBL'!S62</f>
        <v>2</v>
      </c>
      <c r="V49" s="90">
        <f>'RND 1 STBL'!T62</f>
        <v>3</v>
      </c>
      <c r="W49" s="91">
        <f>'RND 1 STBL'!U62</f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0890-783C-D341-8B4B-D0980AC0B488}">
  <dimension ref="A1:AG86"/>
  <sheetViews>
    <sheetView topLeftCell="A15" zoomScale="75" zoomScaleNormal="44" workbookViewId="0">
      <selection activeCell="C55" sqref="C55"/>
    </sheetView>
  </sheetViews>
  <sheetFormatPr baseColWidth="10" defaultRowHeight="15" x14ac:dyDescent="0.2"/>
  <cols>
    <col min="1" max="1" width="13.1640625" bestFit="1" customWidth="1"/>
    <col min="22" max="22" width="12.33203125" customWidth="1"/>
  </cols>
  <sheetData>
    <row r="1" spans="1:33" ht="15" customHeight="1" x14ac:dyDescent="0.2">
      <c r="A1" s="285" t="s">
        <v>106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97"/>
      <c r="Y1" s="289" t="s">
        <v>27</v>
      </c>
      <c r="Z1" s="290"/>
      <c r="AA1" s="290"/>
      <c r="AB1" s="290"/>
      <c r="AC1" s="290"/>
      <c r="AD1" s="290"/>
      <c r="AE1" s="290"/>
      <c r="AF1" s="290"/>
      <c r="AG1" s="291"/>
    </row>
    <row r="2" spans="1:33" ht="15" customHeight="1" x14ac:dyDescent="0.2">
      <c r="A2" s="287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98"/>
      <c r="Y2" s="292"/>
      <c r="Z2" s="293"/>
      <c r="AA2" s="293"/>
      <c r="AB2" s="293"/>
      <c r="AC2" s="293"/>
      <c r="AD2" s="293"/>
      <c r="AE2" s="293"/>
      <c r="AF2" s="293"/>
      <c r="AG2" s="294"/>
    </row>
    <row r="3" spans="1:33" x14ac:dyDescent="0.2">
      <c r="A3" s="99"/>
      <c r="V3" s="98"/>
      <c r="Y3" s="83"/>
      <c r="AG3" s="84"/>
    </row>
    <row r="4" spans="1:33" x14ac:dyDescent="0.2">
      <c r="A4" s="235" t="s">
        <v>1</v>
      </c>
      <c r="B4" s="236" t="s">
        <v>15</v>
      </c>
      <c r="C4" s="237">
        <v>1</v>
      </c>
      <c r="D4" s="238">
        <v>2</v>
      </c>
      <c r="E4" s="238">
        <v>3</v>
      </c>
      <c r="F4" s="238">
        <v>4</v>
      </c>
      <c r="G4" s="238">
        <v>5</v>
      </c>
      <c r="H4" s="238">
        <v>6</v>
      </c>
      <c r="I4" s="238">
        <v>7</v>
      </c>
      <c r="J4" s="238">
        <v>8</v>
      </c>
      <c r="K4" s="238">
        <v>9</v>
      </c>
      <c r="L4" s="238">
        <v>10</v>
      </c>
      <c r="M4" s="238">
        <v>11</v>
      </c>
      <c r="N4" s="238">
        <v>12</v>
      </c>
      <c r="O4" s="238">
        <v>13</v>
      </c>
      <c r="P4" s="238">
        <v>14</v>
      </c>
      <c r="Q4" s="238">
        <v>15</v>
      </c>
      <c r="R4" s="238">
        <v>16</v>
      </c>
      <c r="S4" s="238">
        <v>17</v>
      </c>
      <c r="T4" s="238">
        <v>18</v>
      </c>
      <c r="U4" s="239" t="s">
        <v>2</v>
      </c>
      <c r="V4" s="245" t="s">
        <v>16</v>
      </c>
      <c r="Y4" s="250" t="str">
        <f t="shared" ref="Y4:Y11" si="0">A7</f>
        <v>BELLIS</v>
      </c>
      <c r="Z4" s="257">
        <f t="shared" ref="Z4:Z11" si="1">U55</f>
        <v>36</v>
      </c>
      <c r="AA4" s="257">
        <f t="shared" ref="AA4:AA11" si="2">RANK(Z4,$Z$4:$Z$11,0)</f>
        <v>2</v>
      </c>
      <c r="AB4" s="257"/>
      <c r="AC4" s="257"/>
      <c r="AD4" s="257">
        <f t="shared" ref="AD4:AD11" si="3">IF(AA4=1,24,0)+(IF(AA4=2,21,0))+(IF(AA4=3,18,0))+(IF(AA4=4,15,0))+(IF(AA4=5,12,0))+(IF(AA4=6,9,0))+(IF(AA4=7,6,0))+(IF(AA4=8,3,0))</f>
        <v>21</v>
      </c>
      <c r="AE4" s="257">
        <f t="shared" ref="AE4:AE11" si="4">COUNTIF($AD$4:$AD$11,AD4)</f>
        <v>1</v>
      </c>
      <c r="AF4" s="257">
        <f t="shared" ref="AF4:AF11" si="5">SUMIF($AD$4:$AD$11,AD4)</f>
        <v>21</v>
      </c>
      <c r="AG4" s="258">
        <f>IF(AE4=3,AF4/3-3,0)+IF(AE4=2,AF4/2-1.5,0)+IF(AE4=1,AF4,0)+IF(AE4=4,AF4/4-4.5,0)+IF(AE4=5,AF4/5-6,0)+IF(AE4=6,AF4/6-7.5,0)+IF(AE4=7,AF4/7-9,0)+IF(AE4=8,AF4/8-10.5,0)</f>
        <v>21</v>
      </c>
    </row>
    <row r="5" spans="1:33" x14ac:dyDescent="0.2">
      <c r="A5" s="240"/>
      <c r="B5" s="241" t="s">
        <v>23</v>
      </c>
      <c r="C5" s="242">
        <v>4</v>
      </c>
      <c r="D5" s="242">
        <v>3</v>
      </c>
      <c r="E5" s="242">
        <v>4</v>
      </c>
      <c r="F5" s="242">
        <v>4</v>
      </c>
      <c r="G5" s="242">
        <v>4</v>
      </c>
      <c r="H5" s="242">
        <v>4</v>
      </c>
      <c r="I5" s="242">
        <v>4</v>
      </c>
      <c r="J5" s="242">
        <v>3</v>
      </c>
      <c r="K5" s="242">
        <v>5</v>
      </c>
      <c r="L5" s="242">
        <v>5</v>
      </c>
      <c r="M5" s="242">
        <v>4</v>
      </c>
      <c r="N5" s="242">
        <v>3</v>
      </c>
      <c r="O5" s="242">
        <v>5</v>
      </c>
      <c r="P5" s="242">
        <v>4</v>
      </c>
      <c r="Q5" s="242">
        <v>5</v>
      </c>
      <c r="R5" s="242">
        <v>4</v>
      </c>
      <c r="S5" s="242">
        <v>3</v>
      </c>
      <c r="T5" s="242">
        <v>4</v>
      </c>
      <c r="U5" s="241"/>
      <c r="V5" s="98"/>
      <c r="Y5" s="252" t="str">
        <f t="shared" si="0"/>
        <v>DEY</v>
      </c>
      <c r="Z5" s="259">
        <f t="shared" si="1"/>
        <v>17</v>
      </c>
      <c r="AA5" s="259">
        <f t="shared" si="2"/>
        <v>6</v>
      </c>
      <c r="AB5" s="259"/>
      <c r="AC5" s="259"/>
      <c r="AD5" s="259">
        <f t="shared" si="3"/>
        <v>9</v>
      </c>
      <c r="AE5" s="259">
        <f t="shared" si="4"/>
        <v>2</v>
      </c>
      <c r="AF5" s="259">
        <f t="shared" si="5"/>
        <v>18</v>
      </c>
      <c r="AG5" s="253">
        <f t="shared" ref="AG5:AG11" si="6">IF(AE5=3,AF5/3-3,0)+IF(AE5=2,AF5/2-1.5,0)+IF(AE5=1,AF5,0)+IF(AE5=4,AF5/4-4.5,0)+IF(AE5=5,AF5/5-6,0)+IF(AE5=6,AF5/6-7.5,0)+IF(AE5=7,AF5/7-9,0)+IF(AE5=8,AF5/8-10.5,0)</f>
        <v>7.5</v>
      </c>
    </row>
    <row r="6" spans="1:33" x14ac:dyDescent="0.2">
      <c r="A6" s="240"/>
      <c r="B6" s="241" t="s">
        <v>24</v>
      </c>
      <c r="C6" s="243">
        <v>9</v>
      </c>
      <c r="D6" s="243">
        <v>13</v>
      </c>
      <c r="E6" s="243">
        <v>5</v>
      </c>
      <c r="F6" s="243">
        <v>1</v>
      </c>
      <c r="G6" s="243">
        <v>11</v>
      </c>
      <c r="H6" s="243">
        <v>15</v>
      </c>
      <c r="I6" s="243">
        <v>7</v>
      </c>
      <c r="J6" s="243">
        <v>17</v>
      </c>
      <c r="K6" s="243">
        <v>3</v>
      </c>
      <c r="L6" s="243">
        <v>4</v>
      </c>
      <c r="M6" s="243">
        <v>14</v>
      </c>
      <c r="N6" s="243">
        <v>16</v>
      </c>
      <c r="O6" s="243">
        <v>10</v>
      </c>
      <c r="P6" s="243">
        <v>6</v>
      </c>
      <c r="Q6" s="243">
        <v>8</v>
      </c>
      <c r="R6" s="243">
        <v>12</v>
      </c>
      <c r="S6" s="243">
        <v>18</v>
      </c>
      <c r="T6" s="243">
        <v>2</v>
      </c>
      <c r="U6" s="244"/>
      <c r="V6" s="98"/>
      <c r="Y6" s="252" t="str">
        <f t="shared" si="0"/>
        <v>DONOVAN</v>
      </c>
      <c r="Z6" s="259">
        <f t="shared" si="1"/>
        <v>17</v>
      </c>
      <c r="AA6" s="259">
        <f t="shared" si="2"/>
        <v>6</v>
      </c>
      <c r="AB6" s="259"/>
      <c r="AC6" s="259"/>
      <c r="AD6" s="259">
        <f t="shared" si="3"/>
        <v>9</v>
      </c>
      <c r="AE6" s="259">
        <f t="shared" si="4"/>
        <v>2</v>
      </c>
      <c r="AF6" s="259">
        <f t="shared" si="5"/>
        <v>18</v>
      </c>
      <c r="AG6" s="253">
        <f t="shared" si="6"/>
        <v>7.5</v>
      </c>
    </row>
    <row r="7" spans="1:33" x14ac:dyDescent="0.2">
      <c r="A7" s="240" t="s">
        <v>3</v>
      </c>
      <c r="B7" s="114">
        <v>18</v>
      </c>
      <c r="C7" s="112">
        <v>5</v>
      </c>
      <c r="D7" s="112">
        <v>5</v>
      </c>
      <c r="E7" s="112">
        <v>5</v>
      </c>
      <c r="F7" s="112">
        <v>5</v>
      </c>
      <c r="G7" s="112">
        <v>5</v>
      </c>
      <c r="H7" s="112">
        <v>5</v>
      </c>
      <c r="I7" s="112">
        <v>5</v>
      </c>
      <c r="J7" s="112">
        <v>5</v>
      </c>
      <c r="K7" s="112">
        <v>5</v>
      </c>
      <c r="L7" s="112">
        <v>5</v>
      </c>
      <c r="M7" s="112">
        <v>5</v>
      </c>
      <c r="N7" s="112">
        <v>5</v>
      </c>
      <c r="O7" s="112">
        <v>5</v>
      </c>
      <c r="P7" s="112">
        <v>5</v>
      </c>
      <c r="Q7" s="112">
        <v>5</v>
      </c>
      <c r="R7" s="112">
        <v>5</v>
      </c>
      <c r="S7" s="112">
        <v>5</v>
      </c>
      <c r="T7" s="112">
        <v>5</v>
      </c>
      <c r="U7" s="8">
        <f>SUM(C7:T7)</f>
        <v>90</v>
      </c>
      <c r="V7" s="98"/>
      <c r="Y7" s="252" t="str">
        <f t="shared" si="0"/>
        <v>FINDLAY</v>
      </c>
      <c r="Z7" s="259">
        <f t="shared" si="1"/>
        <v>24</v>
      </c>
      <c r="AA7" s="259">
        <f t="shared" si="2"/>
        <v>4</v>
      </c>
      <c r="AB7" s="259"/>
      <c r="AC7" s="259"/>
      <c r="AD7" s="259">
        <f t="shared" si="3"/>
        <v>15</v>
      </c>
      <c r="AE7" s="259">
        <f t="shared" si="4"/>
        <v>1</v>
      </c>
      <c r="AF7" s="259">
        <f t="shared" si="5"/>
        <v>15</v>
      </c>
      <c r="AG7" s="253">
        <f t="shared" si="6"/>
        <v>15</v>
      </c>
    </row>
    <row r="8" spans="1:33" x14ac:dyDescent="0.2">
      <c r="A8" s="240" t="s">
        <v>4</v>
      </c>
      <c r="B8" s="114">
        <v>18</v>
      </c>
      <c r="C8" s="112">
        <v>5</v>
      </c>
      <c r="D8" s="112">
        <v>9</v>
      </c>
      <c r="E8" s="112">
        <v>6</v>
      </c>
      <c r="F8" s="112">
        <v>9</v>
      </c>
      <c r="G8" s="112">
        <v>6</v>
      </c>
      <c r="H8" s="112">
        <v>9</v>
      </c>
      <c r="I8" s="112">
        <v>6</v>
      </c>
      <c r="J8" s="112">
        <v>9</v>
      </c>
      <c r="K8" s="112">
        <v>0</v>
      </c>
      <c r="L8" s="112">
        <v>0</v>
      </c>
      <c r="M8" s="112">
        <v>0</v>
      </c>
      <c r="N8" s="112">
        <v>0</v>
      </c>
      <c r="O8" s="112">
        <v>0</v>
      </c>
      <c r="P8" s="112">
        <v>0</v>
      </c>
      <c r="Q8" s="112">
        <v>0</v>
      </c>
      <c r="R8" s="112">
        <v>0</v>
      </c>
      <c r="S8" s="112">
        <v>0</v>
      </c>
      <c r="T8" s="112">
        <v>0</v>
      </c>
      <c r="U8" s="8">
        <f t="shared" ref="U8:U14" si="7">SUM(C8:T8)</f>
        <v>59</v>
      </c>
      <c r="V8" s="98"/>
      <c r="Y8" s="252" t="str">
        <f t="shared" si="0"/>
        <v>HOLLANDS</v>
      </c>
      <c r="Z8" s="259">
        <f t="shared" si="1"/>
        <v>18</v>
      </c>
      <c r="AA8" s="259">
        <f t="shared" si="2"/>
        <v>5</v>
      </c>
      <c r="AB8" s="259"/>
      <c r="AC8" s="259"/>
      <c r="AD8" s="259">
        <f t="shared" si="3"/>
        <v>12</v>
      </c>
      <c r="AE8" s="259">
        <f t="shared" si="4"/>
        <v>1</v>
      </c>
      <c r="AF8" s="259">
        <f t="shared" si="5"/>
        <v>12</v>
      </c>
      <c r="AG8" s="253">
        <f t="shared" si="6"/>
        <v>12</v>
      </c>
    </row>
    <row r="9" spans="1:33" x14ac:dyDescent="0.2">
      <c r="A9" s="240" t="s">
        <v>5</v>
      </c>
      <c r="B9" s="114">
        <v>18</v>
      </c>
      <c r="C9" s="112">
        <v>5</v>
      </c>
      <c r="D9" s="112">
        <v>9</v>
      </c>
      <c r="E9" s="112">
        <v>6</v>
      </c>
      <c r="F9" s="112">
        <v>9</v>
      </c>
      <c r="G9" s="112">
        <v>6</v>
      </c>
      <c r="H9" s="112">
        <v>9</v>
      </c>
      <c r="I9" s="112">
        <v>6</v>
      </c>
      <c r="J9" s="112">
        <v>9</v>
      </c>
      <c r="K9" s="112">
        <v>0</v>
      </c>
      <c r="L9" s="112">
        <v>0</v>
      </c>
      <c r="M9" s="112">
        <v>0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0</v>
      </c>
      <c r="T9" s="112">
        <v>0</v>
      </c>
      <c r="U9" s="8">
        <f t="shared" si="7"/>
        <v>59</v>
      </c>
      <c r="V9" s="98"/>
      <c r="Y9" s="252" t="str">
        <f t="shared" si="0"/>
        <v>LAING</v>
      </c>
      <c r="Z9" s="259">
        <f t="shared" si="1"/>
        <v>16</v>
      </c>
      <c r="AA9" s="259">
        <f t="shared" si="2"/>
        <v>8</v>
      </c>
      <c r="AB9" s="259"/>
      <c r="AC9" s="259"/>
      <c r="AD9" s="259">
        <f t="shared" si="3"/>
        <v>3</v>
      </c>
      <c r="AE9" s="259">
        <f t="shared" si="4"/>
        <v>1</v>
      </c>
      <c r="AF9" s="259">
        <f t="shared" si="5"/>
        <v>3</v>
      </c>
      <c r="AG9" s="253">
        <f t="shared" si="6"/>
        <v>3</v>
      </c>
    </row>
    <row r="10" spans="1:33" x14ac:dyDescent="0.2">
      <c r="A10" s="240" t="s">
        <v>6</v>
      </c>
      <c r="B10" s="114">
        <v>18</v>
      </c>
      <c r="C10" s="112">
        <v>5</v>
      </c>
      <c r="D10" s="112">
        <v>4</v>
      </c>
      <c r="E10" s="112">
        <v>6</v>
      </c>
      <c r="F10" s="112">
        <v>4</v>
      </c>
      <c r="G10" s="112">
        <v>6</v>
      </c>
      <c r="H10" s="112">
        <v>9</v>
      </c>
      <c r="I10" s="112">
        <v>6</v>
      </c>
      <c r="J10" s="112">
        <v>4</v>
      </c>
      <c r="K10" s="112">
        <v>0</v>
      </c>
      <c r="L10" s="112">
        <v>0</v>
      </c>
      <c r="M10" s="112">
        <v>0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8">
        <f t="shared" si="7"/>
        <v>44</v>
      </c>
      <c r="V10" s="98"/>
      <c r="Y10" s="252" t="str">
        <f t="shared" si="0"/>
        <v>REILLY</v>
      </c>
      <c r="Z10" s="259">
        <f t="shared" si="1"/>
        <v>25</v>
      </c>
      <c r="AA10" s="259">
        <f t="shared" si="2"/>
        <v>3</v>
      </c>
      <c r="AB10" s="259"/>
      <c r="AC10" s="259"/>
      <c r="AD10" s="259">
        <f t="shared" si="3"/>
        <v>18</v>
      </c>
      <c r="AE10" s="259">
        <f t="shared" si="4"/>
        <v>1</v>
      </c>
      <c r="AF10" s="259">
        <f t="shared" si="5"/>
        <v>18</v>
      </c>
      <c r="AG10" s="253">
        <f t="shared" si="6"/>
        <v>18</v>
      </c>
    </row>
    <row r="11" spans="1:33" x14ac:dyDescent="0.2">
      <c r="A11" s="240" t="s">
        <v>7</v>
      </c>
      <c r="B11" s="114">
        <v>18</v>
      </c>
      <c r="C11" s="112">
        <v>6</v>
      </c>
      <c r="D11" s="112">
        <v>4</v>
      </c>
      <c r="E11" s="112">
        <v>6</v>
      </c>
      <c r="F11" s="112">
        <v>9</v>
      </c>
      <c r="G11" s="112">
        <v>6</v>
      </c>
      <c r="H11" s="112">
        <v>9</v>
      </c>
      <c r="I11" s="112">
        <v>6</v>
      </c>
      <c r="J11" s="112">
        <v>9</v>
      </c>
      <c r="K11" s="112">
        <v>0</v>
      </c>
      <c r="L11" s="112">
        <v>0</v>
      </c>
      <c r="M11" s="112">
        <v>0</v>
      </c>
      <c r="N11" s="112">
        <v>0</v>
      </c>
      <c r="O11" s="112">
        <v>0</v>
      </c>
      <c r="P11" s="112">
        <v>0</v>
      </c>
      <c r="Q11" s="112">
        <v>0</v>
      </c>
      <c r="R11" s="112">
        <v>0</v>
      </c>
      <c r="S11" s="112">
        <v>0</v>
      </c>
      <c r="T11" s="112">
        <v>0</v>
      </c>
      <c r="U11" s="8">
        <f t="shared" si="7"/>
        <v>55</v>
      </c>
      <c r="V11" s="98"/>
      <c r="Y11" s="255" t="str">
        <f t="shared" si="0"/>
        <v>STONES</v>
      </c>
      <c r="Z11" s="260">
        <f t="shared" si="1"/>
        <v>49</v>
      </c>
      <c r="AA11" s="260">
        <f t="shared" si="2"/>
        <v>1</v>
      </c>
      <c r="AB11" s="260"/>
      <c r="AC11" s="260"/>
      <c r="AD11" s="260">
        <f t="shared" si="3"/>
        <v>24</v>
      </c>
      <c r="AE11" s="260">
        <f t="shared" si="4"/>
        <v>1</v>
      </c>
      <c r="AF11" s="260">
        <f t="shared" si="5"/>
        <v>24</v>
      </c>
      <c r="AG11" s="261">
        <f t="shared" si="6"/>
        <v>24</v>
      </c>
    </row>
    <row r="12" spans="1:33" x14ac:dyDescent="0.2">
      <c r="A12" s="240" t="s">
        <v>8</v>
      </c>
      <c r="B12" s="114">
        <v>18</v>
      </c>
      <c r="C12" s="112">
        <v>6</v>
      </c>
      <c r="D12" s="112">
        <v>9</v>
      </c>
      <c r="E12" s="112">
        <v>6</v>
      </c>
      <c r="F12" s="112">
        <v>9</v>
      </c>
      <c r="G12" s="112">
        <v>6</v>
      </c>
      <c r="H12" s="112">
        <v>9</v>
      </c>
      <c r="I12" s="112">
        <v>6</v>
      </c>
      <c r="J12" s="112">
        <v>9</v>
      </c>
      <c r="K12" s="112">
        <v>0</v>
      </c>
      <c r="L12" s="112">
        <v>0</v>
      </c>
      <c r="M12" s="112">
        <v>0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8">
        <f t="shared" si="7"/>
        <v>60</v>
      </c>
      <c r="V12" s="98"/>
      <c r="Y12" s="83"/>
      <c r="AG12" s="84"/>
    </row>
    <row r="13" spans="1:33" x14ac:dyDescent="0.2">
      <c r="A13" s="240" t="s">
        <v>9</v>
      </c>
      <c r="B13" s="114">
        <v>18</v>
      </c>
      <c r="C13" s="112">
        <v>6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8">
        <f t="shared" si="7"/>
        <v>6</v>
      </c>
      <c r="V13" s="98"/>
      <c r="Y13" s="83"/>
      <c r="AG13" s="84"/>
    </row>
    <row r="14" spans="1:33" x14ac:dyDescent="0.2">
      <c r="A14" s="246" t="s">
        <v>10</v>
      </c>
      <c r="B14" s="115">
        <v>18</v>
      </c>
      <c r="C14" s="113">
        <v>6</v>
      </c>
      <c r="D14" s="113">
        <v>4</v>
      </c>
      <c r="E14" s="113">
        <v>4</v>
      </c>
      <c r="F14" s="113">
        <v>7</v>
      </c>
      <c r="G14" s="113">
        <v>4</v>
      </c>
      <c r="H14" s="113">
        <v>4</v>
      </c>
      <c r="I14" s="113">
        <v>4</v>
      </c>
      <c r="J14" s="113">
        <v>4</v>
      </c>
      <c r="K14" s="113">
        <v>4</v>
      </c>
      <c r="L14" s="113">
        <v>4</v>
      </c>
      <c r="M14" s="113">
        <v>4</v>
      </c>
      <c r="N14" s="113">
        <v>4</v>
      </c>
      <c r="O14" s="113">
        <v>4</v>
      </c>
      <c r="P14" s="113">
        <v>4</v>
      </c>
      <c r="Q14" s="113">
        <v>4</v>
      </c>
      <c r="R14" s="113">
        <v>4</v>
      </c>
      <c r="S14" s="113">
        <v>4</v>
      </c>
      <c r="T14" s="113">
        <v>4</v>
      </c>
      <c r="U14" s="7">
        <f t="shared" si="7"/>
        <v>77</v>
      </c>
      <c r="V14" s="98"/>
      <c r="Y14" s="250" t="str">
        <f t="shared" ref="Y14:Z21" si="8">Y4</f>
        <v>BELLIS</v>
      </c>
      <c r="Z14" s="257">
        <f t="shared" si="8"/>
        <v>36</v>
      </c>
      <c r="AA14" s="257">
        <f t="shared" ref="AA14:AA21" si="9">AG4</f>
        <v>21</v>
      </c>
      <c r="AB14" s="257">
        <f>RANK(Z14,$Z$14:$Z$21,0)+COUNTIF($Z$14:Z14,Z14)-1</f>
        <v>2</v>
      </c>
      <c r="AC14" s="258"/>
      <c r="AD14" s="103">
        <v>1</v>
      </c>
      <c r="AE14" s="104" t="str">
        <f t="shared" ref="AE14:AE21" si="10">INDEX($Y$14:$AB$21,MATCH(AD14,$AB$14:$AB$21,0),1)</f>
        <v>STONES</v>
      </c>
      <c r="AF14" s="104">
        <f t="shared" ref="AF14:AF21" si="11">INDEX($Y$14:$AB$21,MATCH(AD14,$AB$14:$AB$21,0),2)</f>
        <v>49</v>
      </c>
      <c r="AG14" s="105">
        <f t="shared" ref="AG14:AG21" si="12">INDEX($Y$14:$AB$21,MATCH(AD14,$AB$14:$AB$21,0),3)</f>
        <v>24</v>
      </c>
    </row>
    <row r="15" spans="1:33" x14ac:dyDescent="0.2">
      <c r="A15" s="9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98"/>
      <c r="Y15" s="252" t="str">
        <f t="shared" si="8"/>
        <v>DEY</v>
      </c>
      <c r="Z15" s="259">
        <f t="shared" si="8"/>
        <v>17</v>
      </c>
      <c r="AA15" s="259">
        <f t="shared" si="9"/>
        <v>7.5</v>
      </c>
      <c r="AB15" s="259">
        <f>RANK(Z15,$Z$14:$Z$21,0)+COUNTIF($Z$14:Z15,Z15)-1</f>
        <v>6</v>
      </c>
      <c r="AC15" s="253"/>
      <c r="AD15" s="106">
        <v>2</v>
      </c>
      <c r="AE15" s="12" t="str">
        <f t="shared" si="10"/>
        <v>BELLIS</v>
      </c>
      <c r="AF15" s="12">
        <f t="shared" si="11"/>
        <v>36</v>
      </c>
      <c r="AG15" s="107">
        <f t="shared" si="12"/>
        <v>21</v>
      </c>
    </row>
    <row r="16" spans="1:33" x14ac:dyDescent="0.2">
      <c r="A16" s="235"/>
      <c r="B16" s="247"/>
      <c r="C16" s="238">
        <f>C4</f>
        <v>1</v>
      </c>
      <c r="D16" s="238">
        <f t="shared" ref="D16:T16" si="13">D4</f>
        <v>2</v>
      </c>
      <c r="E16" s="238">
        <f t="shared" si="13"/>
        <v>3</v>
      </c>
      <c r="F16" s="238">
        <f t="shared" si="13"/>
        <v>4</v>
      </c>
      <c r="G16" s="238">
        <f t="shared" si="13"/>
        <v>5</v>
      </c>
      <c r="H16" s="238">
        <f t="shared" si="13"/>
        <v>6</v>
      </c>
      <c r="I16" s="238">
        <f t="shared" si="13"/>
        <v>7</v>
      </c>
      <c r="J16" s="238">
        <f t="shared" si="13"/>
        <v>8</v>
      </c>
      <c r="K16" s="238">
        <f t="shared" si="13"/>
        <v>9</v>
      </c>
      <c r="L16" s="238">
        <f t="shared" si="13"/>
        <v>10</v>
      </c>
      <c r="M16" s="238">
        <f t="shared" si="13"/>
        <v>11</v>
      </c>
      <c r="N16" s="238">
        <f t="shared" si="13"/>
        <v>12</v>
      </c>
      <c r="O16" s="238">
        <f t="shared" si="13"/>
        <v>13</v>
      </c>
      <c r="P16" s="238">
        <f t="shared" si="13"/>
        <v>14</v>
      </c>
      <c r="Q16" s="238">
        <f t="shared" si="13"/>
        <v>15</v>
      </c>
      <c r="R16" s="238">
        <f t="shared" si="13"/>
        <v>16</v>
      </c>
      <c r="S16" s="238">
        <f t="shared" si="13"/>
        <v>17</v>
      </c>
      <c r="T16" s="238">
        <f t="shared" si="13"/>
        <v>18</v>
      </c>
      <c r="U16" s="239" t="s">
        <v>2</v>
      </c>
      <c r="V16" s="245" t="s">
        <v>17</v>
      </c>
      <c r="Y16" s="252" t="str">
        <f t="shared" si="8"/>
        <v>DONOVAN</v>
      </c>
      <c r="Z16" s="259">
        <f t="shared" si="8"/>
        <v>17</v>
      </c>
      <c r="AA16" s="259">
        <f t="shared" si="9"/>
        <v>7.5</v>
      </c>
      <c r="AB16" s="259">
        <f>RANK(Z16,$Z$14:$Z$21,0)+COUNTIF($Z$14:Z16,Z16)-1</f>
        <v>7</v>
      </c>
      <c r="AC16" s="253"/>
      <c r="AD16" s="106">
        <v>3</v>
      </c>
      <c r="AE16" s="12" t="str">
        <f t="shared" si="10"/>
        <v>REILLY</v>
      </c>
      <c r="AF16" s="12">
        <f t="shared" si="11"/>
        <v>25</v>
      </c>
      <c r="AG16" s="107">
        <f t="shared" si="12"/>
        <v>18</v>
      </c>
    </row>
    <row r="17" spans="1:33" x14ac:dyDescent="0.2">
      <c r="A17" s="240"/>
      <c r="B17" s="241"/>
      <c r="C17" s="242">
        <f t="shared" ref="C17:C18" si="14">C5</f>
        <v>4</v>
      </c>
      <c r="D17" s="242">
        <f t="shared" ref="D17:T17" si="15">D5</f>
        <v>3</v>
      </c>
      <c r="E17" s="242">
        <f t="shared" si="15"/>
        <v>4</v>
      </c>
      <c r="F17" s="242">
        <f t="shared" si="15"/>
        <v>4</v>
      </c>
      <c r="G17" s="242">
        <f t="shared" si="15"/>
        <v>4</v>
      </c>
      <c r="H17" s="242">
        <f t="shared" si="15"/>
        <v>4</v>
      </c>
      <c r="I17" s="242">
        <f t="shared" si="15"/>
        <v>4</v>
      </c>
      <c r="J17" s="242">
        <f t="shared" si="15"/>
        <v>3</v>
      </c>
      <c r="K17" s="242">
        <f t="shared" si="15"/>
        <v>5</v>
      </c>
      <c r="L17" s="242">
        <f t="shared" si="15"/>
        <v>5</v>
      </c>
      <c r="M17" s="242">
        <f t="shared" si="15"/>
        <v>4</v>
      </c>
      <c r="N17" s="242">
        <f t="shared" si="15"/>
        <v>3</v>
      </c>
      <c r="O17" s="242">
        <f t="shared" si="15"/>
        <v>5</v>
      </c>
      <c r="P17" s="242">
        <f t="shared" si="15"/>
        <v>4</v>
      </c>
      <c r="Q17" s="242">
        <f t="shared" si="15"/>
        <v>5</v>
      </c>
      <c r="R17" s="242">
        <f t="shared" si="15"/>
        <v>4</v>
      </c>
      <c r="S17" s="242">
        <f t="shared" si="15"/>
        <v>3</v>
      </c>
      <c r="T17" s="242">
        <f t="shared" si="15"/>
        <v>4</v>
      </c>
      <c r="U17" s="241"/>
      <c r="V17" s="98"/>
      <c r="Y17" s="252" t="str">
        <f t="shared" si="8"/>
        <v>FINDLAY</v>
      </c>
      <c r="Z17" s="259">
        <f t="shared" si="8"/>
        <v>24</v>
      </c>
      <c r="AA17" s="259">
        <f t="shared" si="9"/>
        <v>15</v>
      </c>
      <c r="AB17" s="259">
        <f>RANK(Z17,$Z$14:$Z$21,0)+COUNTIF($Z$14:Z17,Z17)-1</f>
        <v>4</v>
      </c>
      <c r="AC17" s="253"/>
      <c r="AD17" s="106">
        <v>4</v>
      </c>
      <c r="AE17" s="12" t="str">
        <f t="shared" si="10"/>
        <v>FINDLAY</v>
      </c>
      <c r="AF17" s="12">
        <f t="shared" si="11"/>
        <v>24</v>
      </c>
      <c r="AG17" s="107">
        <f t="shared" si="12"/>
        <v>15</v>
      </c>
    </row>
    <row r="18" spans="1:33" x14ac:dyDescent="0.2">
      <c r="A18" s="240"/>
      <c r="B18" s="241"/>
      <c r="C18" s="243">
        <f t="shared" si="14"/>
        <v>9</v>
      </c>
      <c r="D18" s="243">
        <f t="shared" ref="D18:T18" si="16">D6</f>
        <v>13</v>
      </c>
      <c r="E18" s="243">
        <f t="shared" si="16"/>
        <v>5</v>
      </c>
      <c r="F18" s="243">
        <f t="shared" si="16"/>
        <v>1</v>
      </c>
      <c r="G18" s="243">
        <f t="shared" si="16"/>
        <v>11</v>
      </c>
      <c r="H18" s="243">
        <f t="shared" si="16"/>
        <v>15</v>
      </c>
      <c r="I18" s="243">
        <f t="shared" si="16"/>
        <v>7</v>
      </c>
      <c r="J18" s="243">
        <f t="shared" si="16"/>
        <v>17</v>
      </c>
      <c r="K18" s="243">
        <f t="shared" si="16"/>
        <v>3</v>
      </c>
      <c r="L18" s="243">
        <f t="shared" si="16"/>
        <v>4</v>
      </c>
      <c r="M18" s="243">
        <f t="shared" si="16"/>
        <v>14</v>
      </c>
      <c r="N18" s="243">
        <f t="shared" si="16"/>
        <v>16</v>
      </c>
      <c r="O18" s="243">
        <f t="shared" si="16"/>
        <v>10</v>
      </c>
      <c r="P18" s="243">
        <f t="shared" si="16"/>
        <v>6</v>
      </c>
      <c r="Q18" s="243">
        <f t="shared" si="16"/>
        <v>8</v>
      </c>
      <c r="R18" s="243">
        <f t="shared" si="16"/>
        <v>12</v>
      </c>
      <c r="S18" s="243">
        <f t="shared" si="16"/>
        <v>18</v>
      </c>
      <c r="T18" s="243">
        <f t="shared" si="16"/>
        <v>2</v>
      </c>
      <c r="U18" s="244"/>
      <c r="V18" s="98"/>
      <c r="Y18" s="252" t="str">
        <f t="shared" si="8"/>
        <v>HOLLANDS</v>
      </c>
      <c r="Z18" s="259">
        <f t="shared" si="8"/>
        <v>18</v>
      </c>
      <c r="AA18" s="259">
        <f t="shared" si="9"/>
        <v>12</v>
      </c>
      <c r="AB18" s="259">
        <f>RANK(Z18,$Z$14:$Z$21,0)+COUNTIF($Z$14:Z18,Z18)-1</f>
        <v>5</v>
      </c>
      <c r="AC18" s="253"/>
      <c r="AD18" s="106">
        <v>5</v>
      </c>
      <c r="AE18" s="12" t="str">
        <f t="shared" si="10"/>
        <v>HOLLANDS</v>
      </c>
      <c r="AF18" s="12">
        <f t="shared" si="11"/>
        <v>18</v>
      </c>
      <c r="AG18" s="107">
        <f t="shared" si="12"/>
        <v>12</v>
      </c>
    </row>
    <row r="19" spans="1:33" x14ac:dyDescent="0.2">
      <c r="A19" s="240" t="str">
        <f>A7</f>
        <v>BELLIS</v>
      </c>
      <c r="B19" s="248">
        <f>B7</f>
        <v>18</v>
      </c>
      <c r="C19" s="1" t="str">
        <f t="shared" ref="C19:T19" si="17">IF($B$19&gt;=C18,"●","")&amp;(IF($B$19-18&gt;=C18,"●",""))</f>
        <v>●</v>
      </c>
      <c r="D19" s="1" t="str">
        <f t="shared" si="17"/>
        <v>●</v>
      </c>
      <c r="E19" s="1" t="str">
        <f t="shared" si="17"/>
        <v>●</v>
      </c>
      <c r="F19" s="1" t="str">
        <f t="shared" si="17"/>
        <v>●</v>
      </c>
      <c r="G19" s="1" t="str">
        <f t="shared" si="17"/>
        <v>●</v>
      </c>
      <c r="H19" s="1" t="str">
        <f t="shared" si="17"/>
        <v>●</v>
      </c>
      <c r="I19" s="1" t="str">
        <f t="shared" si="17"/>
        <v>●</v>
      </c>
      <c r="J19" s="1" t="str">
        <f t="shared" si="17"/>
        <v>●</v>
      </c>
      <c r="K19" s="1" t="str">
        <f t="shared" si="17"/>
        <v>●</v>
      </c>
      <c r="L19" s="1" t="str">
        <f t="shared" si="17"/>
        <v>●</v>
      </c>
      <c r="M19" s="1" t="str">
        <f t="shared" si="17"/>
        <v>●</v>
      </c>
      <c r="N19" s="1" t="str">
        <f t="shared" si="17"/>
        <v>●</v>
      </c>
      <c r="O19" s="1" t="str">
        <f t="shared" si="17"/>
        <v>●</v>
      </c>
      <c r="P19" s="1" t="str">
        <f t="shared" si="17"/>
        <v>●</v>
      </c>
      <c r="Q19" s="1" t="str">
        <f t="shared" si="17"/>
        <v>●</v>
      </c>
      <c r="R19" s="1" t="str">
        <f t="shared" si="17"/>
        <v>●</v>
      </c>
      <c r="S19" s="1" t="str">
        <f t="shared" si="17"/>
        <v>●</v>
      </c>
      <c r="T19" s="1" t="str">
        <f t="shared" si="17"/>
        <v>●</v>
      </c>
      <c r="U19" s="9"/>
      <c r="V19" s="98"/>
      <c r="Y19" s="252" t="str">
        <f t="shared" si="8"/>
        <v>LAING</v>
      </c>
      <c r="Z19" s="259">
        <f t="shared" si="8"/>
        <v>16</v>
      </c>
      <c r="AA19" s="259">
        <f t="shared" si="9"/>
        <v>3</v>
      </c>
      <c r="AB19" s="259">
        <f>RANK(Z19,$Z$14:$Z$21,0)+COUNTIF($Z$14:Z19,Z19)-1</f>
        <v>8</v>
      </c>
      <c r="AC19" s="253"/>
      <c r="AD19" s="106">
        <v>6</v>
      </c>
      <c r="AE19" s="12" t="str">
        <f t="shared" si="10"/>
        <v>DEY</v>
      </c>
      <c r="AF19" s="12">
        <f t="shared" si="11"/>
        <v>17</v>
      </c>
      <c r="AG19" s="107">
        <f t="shared" si="12"/>
        <v>7.5</v>
      </c>
    </row>
    <row r="20" spans="1:33" x14ac:dyDescent="0.2">
      <c r="A20" s="240" t="str">
        <f t="shared" ref="A20:B20" si="18">A8</f>
        <v>DEY</v>
      </c>
      <c r="B20" s="248">
        <f t="shared" si="18"/>
        <v>18</v>
      </c>
      <c r="C20" s="1" t="str">
        <f t="shared" ref="C20:T20" si="19">IF($B$20&gt;=C18,"●","")&amp;(IF($B$20-18&gt;=C18,"●",""))</f>
        <v>●</v>
      </c>
      <c r="D20" s="1" t="str">
        <f t="shared" si="19"/>
        <v>●</v>
      </c>
      <c r="E20" s="1" t="str">
        <f t="shared" si="19"/>
        <v>●</v>
      </c>
      <c r="F20" s="1" t="str">
        <f t="shared" si="19"/>
        <v>●</v>
      </c>
      <c r="G20" s="1" t="str">
        <f t="shared" si="19"/>
        <v>●</v>
      </c>
      <c r="H20" s="1" t="str">
        <f t="shared" si="19"/>
        <v>●</v>
      </c>
      <c r="I20" s="1" t="str">
        <f t="shared" si="19"/>
        <v>●</v>
      </c>
      <c r="J20" s="1" t="str">
        <f t="shared" si="19"/>
        <v>●</v>
      </c>
      <c r="K20" s="1" t="str">
        <f t="shared" si="19"/>
        <v>●</v>
      </c>
      <c r="L20" s="1" t="str">
        <f t="shared" si="19"/>
        <v>●</v>
      </c>
      <c r="M20" s="1" t="str">
        <f t="shared" si="19"/>
        <v>●</v>
      </c>
      <c r="N20" s="1" t="str">
        <f t="shared" si="19"/>
        <v>●</v>
      </c>
      <c r="O20" s="1" t="str">
        <f t="shared" si="19"/>
        <v>●</v>
      </c>
      <c r="P20" s="1" t="str">
        <f t="shared" si="19"/>
        <v>●</v>
      </c>
      <c r="Q20" s="1" t="str">
        <f t="shared" si="19"/>
        <v>●</v>
      </c>
      <c r="R20" s="1" t="str">
        <f t="shared" si="19"/>
        <v>●</v>
      </c>
      <c r="S20" s="1" t="str">
        <f t="shared" si="19"/>
        <v>●</v>
      </c>
      <c r="T20" s="1" t="str">
        <f t="shared" si="19"/>
        <v>●</v>
      </c>
      <c r="U20" s="9"/>
      <c r="V20" s="98"/>
      <c r="Y20" s="252" t="str">
        <f t="shared" si="8"/>
        <v>REILLY</v>
      </c>
      <c r="Z20" s="259">
        <f t="shared" si="8"/>
        <v>25</v>
      </c>
      <c r="AA20" s="259">
        <f t="shared" si="9"/>
        <v>18</v>
      </c>
      <c r="AB20" s="259">
        <f>RANK(Z20,$Z$14:$Z$21,0)+COUNTIF($Z$14:Z20,Z20)-1</f>
        <v>3</v>
      </c>
      <c r="AC20" s="253"/>
      <c r="AD20" s="106">
        <v>7</v>
      </c>
      <c r="AE20" s="12" t="str">
        <f t="shared" si="10"/>
        <v>DONOVAN</v>
      </c>
      <c r="AF20" s="12">
        <f t="shared" si="11"/>
        <v>17</v>
      </c>
      <c r="AG20" s="107">
        <f t="shared" si="12"/>
        <v>7.5</v>
      </c>
    </row>
    <row r="21" spans="1:33" x14ac:dyDescent="0.2">
      <c r="A21" s="240" t="str">
        <f t="shared" ref="A21:B21" si="20">A9</f>
        <v>DONOVAN</v>
      </c>
      <c r="B21" s="248">
        <f t="shared" si="20"/>
        <v>18</v>
      </c>
      <c r="C21" s="1" t="str">
        <f t="shared" ref="C21:T21" si="21">IF($B$21&gt;=C18,"●","")&amp;(IF($B$21-18&gt;=C18,"●",""))</f>
        <v>●</v>
      </c>
      <c r="D21" s="1" t="str">
        <f t="shared" si="21"/>
        <v>●</v>
      </c>
      <c r="E21" s="1" t="str">
        <f t="shared" si="21"/>
        <v>●</v>
      </c>
      <c r="F21" s="1" t="str">
        <f t="shared" si="21"/>
        <v>●</v>
      </c>
      <c r="G21" s="1" t="str">
        <f t="shared" si="21"/>
        <v>●</v>
      </c>
      <c r="H21" s="1" t="str">
        <f t="shared" si="21"/>
        <v>●</v>
      </c>
      <c r="I21" s="1" t="str">
        <f t="shared" si="21"/>
        <v>●</v>
      </c>
      <c r="J21" s="1" t="str">
        <f t="shared" si="21"/>
        <v>●</v>
      </c>
      <c r="K21" s="1" t="str">
        <f t="shared" si="21"/>
        <v>●</v>
      </c>
      <c r="L21" s="1" t="str">
        <f t="shared" si="21"/>
        <v>●</v>
      </c>
      <c r="M21" s="1" t="str">
        <f t="shared" si="21"/>
        <v>●</v>
      </c>
      <c r="N21" s="1" t="str">
        <f t="shared" si="21"/>
        <v>●</v>
      </c>
      <c r="O21" s="1" t="str">
        <f t="shared" si="21"/>
        <v>●</v>
      </c>
      <c r="P21" s="1" t="str">
        <f t="shared" si="21"/>
        <v>●</v>
      </c>
      <c r="Q21" s="1" t="str">
        <f t="shared" si="21"/>
        <v>●</v>
      </c>
      <c r="R21" s="1" t="str">
        <f t="shared" si="21"/>
        <v>●</v>
      </c>
      <c r="S21" s="1" t="str">
        <f t="shared" si="21"/>
        <v>●</v>
      </c>
      <c r="T21" s="1" t="str">
        <f t="shared" si="21"/>
        <v>●</v>
      </c>
      <c r="U21" s="9"/>
      <c r="V21" s="98"/>
      <c r="Y21" s="255" t="str">
        <f t="shared" si="8"/>
        <v>STONES</v>
      </c>
      <c r="Z21" s="260">
        <f t="shared" si="8"/>
        <v>49</v>
      </c>
      <c r="AA21" s="260">
        <f t="shared" si="9"/>
        <v>24</v>
      </c>
      <c r="AB21" s="260">
        <f>RANK(Z21,$Z$14:$Z$21,0)+COUNTIF($Z$14:Z21,Z21)-1</f>
        <v>1</v>
      </c>
      <c r="AC21" s="261"/>
      <c r="AD21" s="108">
        <v>8</v>
      </c>
      <c r="AE21" s="109" t="str">
        <f t="shared" si="10"/>
        <v>LAING</v>
      </c>
      <c r="AF21" s="109">
        <f t="shared" si="11"/>
        <v>16</v>
      </c>
      <c r="AG21" s="110">
        <f t="shared" si="12"/>
        <v>3</v>
      </c>
    </row>
    <row r="22" spans="1:33" x14ac:dyDescent="0.2">
      <c r="A22" s="240" t="str">
        <f t="shared" ref="A22:B22" si="22">A10</f>
        <v>FINDLAY</v>
      </c>
      <c r="B22" s="248">
        <f t="shared" si="22"/>
        <v>18</v>
      </c>
      <c r="C22" s="1" t="str">
        <f t="shared" ref="C22:T22" si="23">IF($B$22&gt;=C18,"●","")&amp;(IF($B$22-18&gt;=C18,"●",""))</f>
        <v>●</v>
      </c>
      <c r="D22" s="1" t="str">
        <f t="shared" si="23"/>
        <v>●</v>
      </c>
      <c r="E22" s="1" t="str">
        <f t="shared" si="23"/>
        <v>●</v>
      </c>
      <c r="F22" s="1" t="str">
        <f t="shared" si="23"/>
        <v>●</v>
      </c>
      <c r="G22" s="1" t="str">
        <f t="shared" si="23"/>
        <v>●</v>
      </c>
      <c r="H22" s="1" t="str">
        <f t="shared" si="23"/>
        <v>●</v>
      </c>
      <c r="I22" s="1" t="str">
        <f t="shared" si="23"/>
        <v>●</v>
      </c>
      <c r="J22" s="1" t="str">
        <f t="shared" si="23"/>
        <v>●</v>
      </c>
      <c r="K22" s="1" t="str">
        <f t="shared" si="23"/>
        <v>●</v>
      </c>
      <c r="L22" s="1" t="str">
        <f t="shared" si="23"/>
        <v>●</v>
      </c>
      <c r="M22" s="1" t="str">
        <f t="shared" si="23"/>
        <v>●</v>
      </c>
      <c r="N22" s="1" t="str">
        <f t="shared" si="23"/>
        <v>●</v>
      </c>
      <c r="O22" s="1" t="str">
        <f t="shared" si="23"/>
        <v>●</v>
      </c>
      <c r="P22" s="1" t="str">
        <f t="shared" si="23"/>
        <v>●</v>
      </c>
      <c r="Q22" s="1" t="str">
        <f t="shared" si="23"/>
        <v>●</v>
      </c>
      <c r="R22" s="1" t="str">
        <f t="shared" si="23"/>
        <v>●</v>
      </c>
      <c r="S22" s="1" t="str">
        <f t="shared" si="23"/>
        <v>●</v>
      </c>
      <c r="T22" s="1" t="str">
        <f t="shared" si="23"/>
        <v>●</v>
      </c>
      <c r="U22" s="9"/>
      <c r="V22" s="98"/>
      <c r="Y22" s="85"/>
      <c r="Z22" s="86"/>
      <c r="AA22" s="86"/>
      <c r="AB22" s="86"/>
      <c r="AC22" s="86"/>
      <c r="AD22" s="86"/>
      <c r="AE22" s="86"/>
      <c r="AF22" s="86"/>
      <c r="AG22" s="87"/>
    </row>
    <row r="23" spans="1:33" x14ac:dyDescent="0.2">
      <c r="A23" s="240" t="str">
        <f t="shared" ref="A23:B23" si="24">A11</f>
        <v>HOLLANDS</v>
      </c>
      <c r="B23" s="248">
        <f t="shared" si="24"/>
        <v>18</v>
      </c>
      <c r="C23" s="1" t="str">
        <f t="shared" ref="C23:T23" si="25">IF($B$23&gt;=C18,"●","")&amp;(IF($B$23-18&gt;=C18,"●",""))</f>
        <v>●</v>
      </c>
      <c r="D23" s="1" t="str">
        <f t="shared" si="25"/>
        <v>●</v>
      </c>
      <c r="E23" s="1" t="str">
        <f t="shared" si="25"/>
        <v>●</v>
      </c>
      <c r="F23" s="1" t="str">
        <f t="shared" si="25"/>
        <v>●</v>
      </c>
      <c r="G23" s="1" t="str">
        <f t="shared" si="25"/>
        <v>●</v>
      </c>
      <c r="H23" s="1" t="str">
        <f t="shared" si="25"/>
        <v>●</v>
      </c>
      <c r="I23" s="1" t="str">
        <f t="shared" si="25"/>
        <v>●</v>
      </c>
      <c r="J23" s="1" t="str">
        <f t="shared" si="25"/>
        <v>●</v>
      </c>
      <c r="K23" s="1" t="str">
        <f t="shared" si="25"/>
        <v>●</v>
      </c>
      <c r="L23" s="1" t="str">
        <f t="shared" si="25"/>
        <v>●</v>
      </c>
      <c r="M23" s="1" t="str">
        <f t="shared" si="25"/>
        <v>●</v>
      </c>
      <c r="N23" s="1" t="str">
        <f t="shared" si="25"/>
        <v>●</v>
      </c>
      <c r="O23" s="1" t="str">
        <f t="shared" si="25"/>
        <v>●</v>
      </c>
      <c r="P23" s="1" t="str">
        <f t="shared" si="25"/>
        <v>●</v>
      </c>
      <c r="Q23" s="1" t="str">
        <f t="shared" si="25"/>
        <v>●</v>
      </c>
      <c r="R23" s="1" t="str">
        <f t="shared" si="25"/>
        <v>●</v>
      </c>
      <c r="S23" s="1" t="str">
        <f t="shared" si="25"/>
        <v>●</v>
      </c>
      <c r="T23" s="1" t="str">
        <f t="shared" si="25"/>
        <v>●</v>
      </c>
      <c r="U23" s="9"/>
      <c r="V23" s="98"/>
    </row>
    <row r="24" spans="1:33" x14ac:dyDescent="0.2">
      <c r="A24" s="240" t="str">
        <f t="shared" ref="A24:B24" si="26">A12</f>
        <v>LAING</v>
      </c>
      <c r="B24" s="248">
        <f t="shared" si="26"/>
        <v>18</v>
      </c>
      <c r="C24" s="1" t="str">
        <f t="shared" ref="C24:T24" si="27">IF($B$24&gt;=C18,"●","")&amp;(IF($B$24-18&gt;=C18,"●",""))</f>
        <v>●</v>
      </c>
      <c r="D24" s="1" t="str">
        <f t="shared" si="27"/>
        <v>●</v>
      </c>
      <c r="E24" s="1" t="str">
        <f t="shared" si="27"/>
        <v>●</v>
      </c>
      <c r="F24" s="1" t="str">
        <f t="shared" si="27"/>
        <v>●</v>
      </c>
      <c r="G24" s="1" t="str">
        <f t="shared" si="27"/>
        <v>●</v>
      </c>
      <c r="H24" s="1" t="str">
        <f t="shared" si="27"/>
        <v>●</v>
      </c>
      <c r="I24" s="1" t="str">
        <f t="shared" si="27"/>
        <v>●</v>
      </c>
      <c r="J24" s="1" t="str">
        <f t="shared" si="27"/>
        <v>●</v>
      </c>
      <c r="K24" s="1" t="str">
        <f t="shared" si="27"/>
        <v>●</v>
      </c>
      <c r="L24" s="1" t="str">
        <f t="shared" si="27"/>
        <v>●</v>
      </c>
      <c r="M24" s="1" t="str">
        <f t="shared" si="27"/>
        <v>●</v>
      </c>
      <c r="N24" s="1" t="str">
        <f t="shared" si="27"/>
        <v>●</v>
      </c>
      <c r="O24" s="1" t="str">
        <f t="shared" si="27"/>
        <v>●</v>
      </c>
      <c r="P24" s="1" t="str">
        <f t="shared" si="27"/>
        <v>●</v>
      </c>
      <c r="Q24" s="1" t="str">
        <f t="shared" si="27"/>
        <v>●</v>
      </c>
      <c r="R24" s="1" t="str">
        <f t="shared" si="27"/>
        <v>●</v>
      </c>
      <c r="S24" s="1" t="str">
        <f t="shared" si="27"/>
        <v>●</v>
      </c>
      <c r="T24" s="1" t="str">
        <f t="shared" si="27"/>
        <v>●</v>
      </c>
      <c r="U24" s="9"/>
      <c r="V24" s="98"/>
    </row>
    <row r="25" spans="1:33" x14ac:dyDescent="0.2">
      <c r="A25" s="240" t="str">
        <f t="shared" ref="A25:B25" si="28">A13</f>
        <v>REILLY</v>
      </c>
      <c r="B25" s="248">
        <f t="shared" si="28"/>
        <v>18</v>
      </c>
      <c r="C25" s="1" t="str">
        <f t="shared" ref="C25:T25" si="29">IF($B$25&gt;=C18,"●","")&amp;(IF($B$25-18&gt;=C18,"●",""))</f>
        <v>●</v>
      </c>
      <c r="D25" s="1" t="str">
        <f t="shared" si="29"/>
        <v>●</v>
      </c>
      <c r="E25" s="1" t="str">
        <f t="shared" si="29"/>
        <v>●</v>
      </c>
      <c r="F25" s="1" t="str">
        <f t="shared" si="29"/>
        <v>●</v>
      </c>
      <c r="G25" s="1" t="str">
        <f t="shared" si="29"/>
        <v>●</v>
      </c>
      <c r="H25" s="1" t="str">
        <f t="shared" si="29"/>
        <v>●</v>
      </c>
      <c r="I25" s="1" t="str">
        <f t="shared" si="29"/>
        <v>●</v>
      </c>
      <c r="J25" s="1" t="str">
        <f t="shared" si="29"/>
        <v>●</v>
      </c>
      <c r="K25" s="1" t="str">
        <f t="shared" si="29"/>
        <v>●</v>
      </c>
      <c r="L25" s="1" t="str">
        <f t="shared" si="29"/>
        <v>●</v>
      </c>
      <c r="M25" s="1" t="str">
        <f t="shared" si="29"/>
        <v>●</v>
      </c>
      <c r="N25" s="1" t="str">
        <f t="shared" si="29"/>
        <v>●</v>
      </c>
      <c r="O25" s="1" t="str">
        <f t="shared" si="29"/>
        <v>●</v>
      </c>
      <c r="P25" s="1" t="str">
        <f t="shared" si="29"/>
        <v>●</v>
      </c>
      <c r="Q25" s="1" t="str">
        <f t="shared" si="29"/>
        <v>●</v>
      </c>
      <c r="R25" s="1" t="str">
        <f t="shared" si="29"/>
        <v>●</v>
      </c>
      <c r="S25" s="1" t="str">
        <f t="shared" si="29"/>
        <v>●</v>
      </c>
      <c r="T25" s="1" t="str">
        <f t="shared" si="29"/>
        <v>●</v>
      </c>
      <c r="U25" s="9"/>
      <c r="V25" s="98"/>
    </row>
    <row r="26" spans="1:33" x14ac:dyDescent="0.2">
      <c r="A26" s="246" t="str">
        <f t="shared" ref="A26:B26" si="30">A14</f>
        <v>STONES</v>
      </c>
      <c r="B26" s="249">
        <f t="shared" si="30"/>
        <v>18</v>
      </c>
      <c r="C26" s="6" t="str">
        <f t="shared" ref="C26:T26" si="31">IF($B$26&gt;=C18,"●","")&amp;(IF($B$26-18&gt;=C18,"●",""))</f>
        <v>●</v>
      </c>
      <c r="D26" s="6" t="str">
        <f t="shared" si="31"/>
        <v>●</v>
      </c>
      <c r="E26" s="6" t="str">
        <f t="shared" si="31"/>
        <v>●</v>
      </c>
      <c r="F26" s="6" t="str">
        <f t="shared" si="31"/>
        <v>●</v>
      </c>
      <c r="G26" s="6" t="str">
        <f t="shared" si="31"/>
        <v>●</v>
      </c>
      <c r="H26" s="6" t="str">
        <f t="shared" si="31"/>
        <v>●</v>
      </c>
      <c r="I26" s="6" t="str">
        <f t="shared" si="31"/>
        <v>●</v>
      </c>
      <c r="J26" s="6" t="str">
        <f t="shared" si="31"/>
        <v>●</v>
      </c>
      <c r="K26" s="6" t="str">
        <f t="shared" si="31"/>
        <v>●</v>
      </c>
      <c r="L26" s="6" t="str">
        <f t="shared" si="31"/>
        <v>●</v>
      </c>
      <c r="M26" s="6" t="str">
        <f t="shared" si="31"/>
        <v>●</v>
      </c>
      <c r="N26" s="6" t="str">
        <f t="shared" si="31"/>
        <v>●</v>
      </c>
      <c r="O26" s="6" t="str">
        <f t="shared" si="31"/>
        <v>●</v>
      </c>
      <c r="P26" s="6" t="str">
        <f t="shared" si="31"/>
        <v>●</v>
      </c>
      <c r="Q26" s="6" t="str">
        <f t="shared" si="31"/>
        <v>●</v>
      </c>
      <c r="R26" s="6" t="str">
        <f t="shared" si="31"/>
        <v>●</v>
      </c>
      <c r="S26" s="6" t="str">
        <f t="shared" si="31"/>
        <v>●</v>
      </c>
      <c r="T26" s="6" t="str">
        <f t="shared" si="31"/>
        <v>●</v>
      </c>
      <c r="U26" s="10"/>
      <c r="V26" s="98"/>
    </row>
    <row r="27" spans="1:33" x14ac:dyDescent="0.2">
      <c r="A27" s="99"/>
      <c r="V27" s="98"/>
    </row>
    <row r="28" spans="1:33" x14ac:dyDescent="0.2">
      <c r="A28" s="235"/>
      <c r="B28" s="247"/>
      <c r="C28" s="238">
        <f>C16</f>
        <v>1</v>
      </c>
      <c r="D28" s="238">
        <f t="shared" ref="D28:T30" si="32">D16</f>
        <v>2</v>
      </c>
      <c r="E28" s="238">
        <f t="shared" si="32"/>
        <v>3</v>
      </c>
      <c r="F28" s="238">
        <f t="shared" si="32"/>
        <v>4</v>
      </c>
      <c r="G28" s="238">
        <f t="shared" si="32"/>
        <v>5</v>
      </c>
      <c r="H28" s="238">
        <f t="shared" si="32"/>
        <v>6</v>
      </c>
      <c r="I28" s="238">
        <f t="shared" si="32"/>
        <v>7</v>
      </c>
      <c r="J28" s="238">
        <f t="shared" si="32"/>
        <v>8</v>
      </c>
      <c r="K28" s="238">
        <f t="shared" si="32"/>
        <v>9</v>
      </c>
      <c r="L28" s="238">
        <f t="shared" si="32"/>
        <v>10</v>
      </c>
      <c r="M28" s="238">
        <f t="shared" si="32"/>
        <v>11</v>
      </c>
      <c r="N28" s="238">
        <f t="shared" si="32"/>
        <v>12</v>
      </c>
      <c r="O28" s="238">
        <f t="shared" si="32"/>
        <v>13</v>
      </c>
      <c r="P28" s="238">
        <f t="shared" si="32"/>
        <v>14</v>
      </c>
      <c r="Q28" s="238">
        <f t="shared" si="32"/>
        <v>15</v>
      </c>
      <c r="R28" s="238">
        <f t="shared" si="32"/>
        <v>16</v>
      </c>
      <c r="S28" s="238">
        <f t="shared" si="32"/>
        <v>17</v>
      </c>
      <c r="T28" s="238">
        <f t="shared" si="32"/>
        <v>18</v>
      </c>
      <c r="U28" s="239" t="s">
        <v>2</v>
      </c>
      <c r="V28" s="245" t="s">
        <v>18</v>
      </c>
    </row>
    <row r="29" spans="1:33" x14ac:dyDescent="0.2">
      <c r="A29" s="240"/>
      <c r="B29" s="241"/>
      <c r="C29" s="242">
        <f t="shared" ref="C29:R30" si="33">C17</f>
        <v>4</v>
      </c>
      <c r="D29" s="242">
        <f t="shared" si="33"/>
        <v>3</v>
      </c>
      <c r="E29" s="242">
        <f t="shared" si="33"/>
        <v>4</v>
      </c>
      <c r="F29" s="242">
        <f t="shared" si="33"/>
        <v>4</v>
      </c>
      <c r="G29" s="242">
        <f t="shared" si="33"/>
        <v>4</v>
      </c>
      <c r="H29" s="242">
        <f t="shared" si="33"/>
        <v>4</v>
      </c>
      <c r="I29" s="242">
        <f t="shared" si="33"/>
        <v>4</v>
      </c>
      <c r="J29" s="242">
        <f t="shared" si="33"/>
        <v>3</v>
      </c>
      <c r="K29" s="242">
        <f t="shared" si="33"/>
        <v>5</v>
      </c>
      <c r="L29" s="242">
        <f t="shared" si="33"/>
        <v>5</v>
      </c>
      <c r="M29" s="242">
        <f t="shared" si="33"/>
        <v>4</v>
      </c>
      <c r="N29" s="242">
        <f t="shared" si="33"/>
        <v>3</v>
      </c>
      <c r="O29" s="242">
        <f t="shared" si="33"/>
        <v>5</v>
      </c>
      <c r="P29" s="242">
        <f t="shared" si="33"/>
        <v>4</v>
      </c>
      <c r="Q29" s="242">
        <f t="shared" si="33"/>
        <v>5</v>
      </c>
      <c r="R29" s="242">
        <f t="shared" si="33"/>
        <v>4</v>
      </c>
      <c r="S29" s="242">
        <f t="shared" si="32"/>
        <v>3</v>
      </c>
      <c r="T29" s="242">
        <f t="shared" si="32"/>
        <v>4</v>
      </c>
      <c r="U29" s="241"/>
      <c r="V29" s="98"/>
    </row>
    <row r="30" spans="1:33" x14ac:dyDescent="0.2">
      <c r="A30" s="240"/>
      <c r="B30" s="241"/>
      <c r="C30" s="243">
        <f t="shared" si="33"/>
        <v>9</v>
      </c>
      <c r="D30" s="243">
        <f t="shared" si="32"/>
        <v>13</v>
      </c>
      <c r="E30" s="243">
        <f t="shared" si="32"/>
        <v>5</v>
      </c>
      <c r="F30" s="243">
        <f t="shared" si="32"/>
        <v>1</v>
      </c>
      <c r="G30" s="243">
        <f t="shared" si="32"/>
        <v>11</v>
      </c>
      <c r="H30" s="243">
        <f t="shared" si="32"/>
        <v>15</v>
      </c>
      <c r="I30" s="243">
        <f t="shared" si="32"/>
        <v>7</v>
      </c>
      <c r="J30" s="243">
        <f t="shared" si="32"/>
        <v>17</v>
      </c>
      <c r="K30" s="243">
        <f t="shared" si="32"/>
        <v>3</v>
      </c>
      <c r="L30" s="243">
        <f t="shared" si="32"/>
        <v>4</v>
      </c>
      <c r="M30" s="243">
        <f t="shared" si="32"/>
        <v>14</v>
      </c>
      <c r="N30" s="243">
        <f t="shared" si="32"/>
        <v>16</v>
      </c>
      <c r="O30" s="243">
        <f t="shared" si="32"/>
        <v>10</v>
      </c>
      <c r="P30" s="243">
        <f t="shared" si="32"/>
        <v>6</v>
      </c>
      <c r="Q30" s="243">
        <f t="shared" si="32"/>
        <v>8</v>
      </c>
      <c r="R30" s="243">
        <f t="shared" si="32"/>
        <v>12</v>
      </c>
      <c r="S30" s="243">
        <f t="shared" si="32"/>
        <v>18</v>
      </c>
      <c r="T30" s="243">
        <f t="shared" si="32"/>
        <v>2</v>
      </c>
      <c r="U30" s="244"/>
      <c r="V30" s="98"/>
    </row>
    <row r="31" spans="1:33" x14ac:dyDescent="0.2">
      <c r="A31" s="240" t="str">
        <f>A19</f>
        <v>BELLIS</v>
      </c>
      <c r="B31" s="248">
        <f>B19</f>
        <v>18</v>
      </c>
      <c r="C31" s="1">
        <f t="shared" ref="C31:T31" si="34">C7+IF(C19="●",-1)+IF(C19="●●",-2)</f>
        <v>4</v>
      </c>
      <c r="D31" s="1">
        <f t="shared" si="34"/>
        <v>4</v>
      </c>
      <c r="E31" s="1">
        <f t="shared" si="34"/>
        <v>4</v>
      </c>
      <c r="F31" s="1">
        <f t="shared" si="34"/>
        <v>4</v>
      </c>
      <c r="G31" s="1">
        <f t="shared" si="34"/>
        <v>4</v>
      </c>
      <c r="H31" s="1">
        <f t="shared" si="34"/>
        <v>4</v>
      </c>
      <c r="I31" s="1">
        <f t="shared" si="34"/>
        <v>4</v>
      </c>
      <c r="J31" s="1">
        <f t="shared" si="34"/>
        <v>4</v>
      </c>
      <c r="K31" s="1">
        <f t="shared" si="34"/>
        <v>4</v>
      </c>
      <c r="L31" s="1">
        <f t="shared" si="34"/>
        <v>4</v>
      </c>
      <c r="M31" s="1">
        <f t="shared" si="34"/>
        <v>4</v>
      </c>
      <c r="N31" s="1">
        <f t="shared" si="34"/>
        <v>4</v>
      </c>
      <c r="O31" s="1">
        <f t="shared" si="34"/>
        <v>4</v>
      </c>
      <c r="P31" s="1">
        <f t="shared" si="34"/>
        <v>4</v>
      </c>
      <c r="Q31" s="1">
        <f t="shared" si="34"/>
        <v>4</v>
      </c>
      <c r="R31" s="1">
        <f t="shared" si="34"/>
        <v>4</v>
      </c>
      <c r="S31" s="1">
        <f t="shared" si="34"/>
        <v>4</v>
      </c>
      <c r="T31" s="1">
        <f t="shared" si="34"/>
        <v>4</v>
      </c>
      <c r="U31" s="9"/>
      <c r="V31" s="98"/>
    </row>
    <row r="32" spans="1:33" x14ac:dyDescent="0.2">
      <c r="A32" s="240" t="str">
        <f t="shared" ref="A32:B32" si="35">A20</f>
        <v>DEY</v>
      </c>
      <c r="B32" s="248">
        <f t="shared" si="35"/>
        <v>18</v>
      </c>
      <c r="C32" s="1">
        <f t="shared" ref="C32:T32" si="36">C8+IF(C20="●",-1)+IF(C20="●●",-2)</f>
        <v>4</v>
      </c>
      <c r="D32" s="1">
        <f t="shared" si="36"/>
        <v>8</v>
      </c>
      <c r="E32" s="1">
        <f t="shared" si="36"/>
        <v>5</v>
      </c>
      <c r="F32" s="1">
        <f t="shared" si="36"/>
        <v>8</v>
      </c>
      <c r="G32" s="1">
        <f t="shared" si="36"/>
        <v>5</v>
      </c>
      <c r="H32" s="1">
        <f t="shared" si="36"/>
        <v>8</v>
      </c>
      <c r="I32" s="1">
        <f t="shared" si="36"/>
        <v>5</v>
      </c>
      <c r="J32" s="1">
        <f t="shared" si="36"/>
        <v>8</v>
      </c>
      <c r="K32" s="1">
        <f t="shared" si="36"/>
        <v>-1</v>
      </c>
      <c r="L32" s="1">
        <f t="shared" si="36"/>
        <v>-1</v>
      </c>
      <c r="M32" s="1">
        <f t="shared" si="36"/>
        <v>-1</v>
      </c>
      <c r="N32" s="1">
        <f t="shared" si="36"/>
        <v>-1</v>
      </c>
      <c r="O32" s="1">
        <f t="shared" si="36"/>
        <v>-1</v>
      </c>
      <c r="P32" s="1">
        <f t="shared" si="36"/>
        <v>-1</v>
      </c>
      <c r="Q32" s="1">
        <f t="shared" si="36"/>
        <v>-1</v>
      </c>
      <c r="R32" s="1">
        <f t="shared" si="36"/>
        <v>-1</v>
      </c>
      <c r="S32" s="1">
        <f t="shared" si="36"/>
        <v>-1</v>
      </c>
      <c r="T32" s="1">
        <f t="shared" si="36"/>
        <v>-1</v>
      </c>
      <c r="U32" s="9"/>
      <c r="V32" s="98"/>
    </row>
    <row r="33" spans="1:22" x14ac:dyDescent="0.2">
      <c r="A33" s="240" t="str">
        <f t="shared" ref="A33:B33" si="37">A21</f>
        <v>DONOVAN</v>
      </c>
      <c r="B33" s="248">
        <f t="shared" si="37"/>
        <v>18</v>
      </c>
      <c r="C33" s="1">
        <f t="shared" ref="C33:T33" si="38">C9+IF(C21="●",-1)+IF(C21="●●",-2)</f>
        <v>4</v>
      </c>
      <c r="D33" s="1">
        <f t="shared" si="38"/>
        <v>8</v>
      </c>
      <c r="E33" s="1">
        <f t="shared" si="38"/>
        <v>5</v>
      </c>
      <c r="F33" s="1">
        <f t="shared" si="38"/>
        <v>8</v>
      </c>
      <c r="G33" s="1">
        <f t="shared" si="38"/>
        <v>5</v>
      </c>
      <c r="H33" s="1">
        <f t="shared" si="38"/>
        <v>8</v>
      </c>
      <c r="I33" s="1">
        <f t="shared" si="38"/>
        <v>5</v>
      </c>
      <c r="J33" s="1">
        <f t="shared" si="38"/>
        <v>8</v>
      </c>
      <c r="K33" s="1">
        <f t="shared" si="38"/>
        <v>-1</v>
      </c>
      <c r="L33" s="1">
        <f t="shared" si="38"/>
        <v>-1</v>
      </c>
      <c r="M33" s="1">
        <f t="shared" si="38"/>
        <v>-1</v>
      </c>
      <c r="N33" s="1">
        <f t="shared" si="38"/>
        <v>-1</v>
      </c>
      <c r="O33" s="1">
        <f t="shared" si="38"/>
        <v>-1</v>
      </c>
      <c r="P33" s="1">
        <f t="shared" si="38"/>
        <v>-1</v>
      </c>
      <c r="Q33" s="1">
        <f t="shared" si="38"/>
        <v>-1</v>
      </c>
      <c r="R33" s="1">
        <f t="shared" si="38"/>
        <v>-1</v>
      </c>
      <c r="S33" s="1">
        <f t="shared" si="38"/>
        <v>-1</v>
      </c>
      <c r="T33" s="1">
        <f t="shared" si="38"/>
        <v>-1</v>
      </c>
      <c r="U33" s="9"/>
      <c r="V33" s="98"/>
    </row>
    <row r="34" spans="1:22" x14ac:dyDescent="0.2">
      <c r="A34" s="240" t="str">
        <f t="shared" ref="A34:B34" si="39">A22</f>
        <v>FINDLAY</v>
      </c>
      <c r="B34" s="248">
        <f t="shared" si="39"/>
        <v>18</v>
      </c>
      <c r="C34" s="1">
        <f t="shared" ref="C34:T34" si="40">C10+IF(C22="●",-1)+IF(C22="●●",-2)</f>
        <v>4</v>
      </c>
      <c r="D34" s="1">
        <f t="shared" si="40"/>
        <v>3</v>
      </c>
      <c r="E34" s="1">
        <f t="shared" si="40"/>
        <v>5</v>
      </c>
      <c r="F34" s="1">
        <f t="shared" si="40"/>
        <v>3</v>
      </c>
      <c r="G34" s="1">
        <f t="shared" si="40"/>
        <v>5</v>
      </c>
      <c r="H34" s="1">
        <f t="shared" si="40"/>
        <v>8</v>
      </c>
      <c r="I34" s="1">
        <f t="shared" si="40"/>
        <v>5</v>
      </c>
      <c r="J34" s="1">
        <f t="shared" si="40"/>
        <v>3</v>
      </c>
      <c r="K34" s="1">
        <f t="shared" si="40"/>
        <v>-1</v>
      </c>
      <c r="L34" s="1">
        <f t="shared" si="40"/>
        <v>-1</v>
      </c>
      <c r="M34" s="1">
        <f t="shared" si="40"/>
        <v>-1</v>
      </c>
      <c r="N34" s="1">
        <f t="shared" si="40"/>
        <v>-1</v>
      </c>
      <c r="O34" s="1">
        <f t="shared" si="40"/>
        <v>-1</v>
      </c>
      <c r="P34" s="1">
        <f t="shared" si="40"/>
        <v>-1</v>
      </c>
      <c r="Q34" s="1">
        <f t="shared" si="40"/>
        <v>-1</v>
      </c>
      <c r="R34" s="1">
        <f t="shared" si="40"/>
        <v>-1</v>
      </c>
      <c r="S34" s="1">
        <f t="shared" si="40"/>
        <v>-1</v>
      </c>
      <c r="T34" s="1">
        <f t="shared" si="40"/>
        <v>-1</v>
      </c>
      <c r="U34" s="9"/>
      <c r="V34" s="98"/>
    </row>
    <row r="35" spans="1:22" x14ac:dyDescent="0.2">
      <c r="A35" s="240" t="str">
        <f t="shared" ref="A35:B35" si="41">A23</f>
        <v>HOLLANDS</v>
      </c>
      <c r="B35" s="248">
        <f t="shared" si="41"/>
        <v>18</v>
      </c>
      <c r="C35" s="1">
        <f t="shared" ref="C35:T35" si="42">C11+IF(C23="●",-1)+IF(C23="●●",-2)</f>
        <v>5</v>
      </c>
      <c r="D35" s="1">
        <f t="shared" si="42"/>
        <v>3</v>
      </c>
      <c r="E35" s="1">
        <f t="shared" si="42"/>
        <v>5</v>
      </c>
      <c r="F35" s="1">
        <f t="shared" si="42"/>
        <v>8</v>
      </c>
      <c r="G35" s="1">
        <f t="shared" si="42"/>
        <v>5</v>
      </c>
      <c r="H35" s="1">
        <f t="shared" si="42"/>
        <v>8</v>
      </c>
      <c r="I35" s="1">
        <f t="shared" si="42"/>
        <v>5</v>
      </c>
      <c r="J35" s="1">
        <f t="shared" si="42"/>
        <v>8</v>
      </c>
      <c r="K35" s="1">
        <f t="shared" si="42"/>
        <v>-1</v>
      </c>
      <c r="L35" s="1">
        <f t="shared" si="42"/>
        <v>-1</v>
      </c>
      <c r="M35" s="1">
        <f t="shared" si="42"/>
        <v>-1</v>
      </c>
      <c r="N35" s="1">
        <f t="shared" si="42"/>
        <v>-1</v>
      </c>
      <c r="O35" s="1">
        <f t="shared" si="42"/>
        <v>-1</v>
      </c>
      <c r="P35" s="1">
        <f t="shared" si="42"/>
        <v>-1</v>
      </c>
      <c r="Q35" s="1">
        <f t="shared" si="42"/>
        <v>-1</v>
      </c>
      <c r="R35" s="1">
        <f t="shared" si="42"/>
        <v>-1</v>
      </c>
      <c r="S35" s="1">
        <f t="shared" si="42"/>
        <v>-1</v>
      </c>
      <c r="T35" s="1">
        <f t="shared" si="42"/>
        <v>-1</v>
      </c>
      <c r="U35" s="9"/>
      <c r="V35" s="98"/>
    </row>
    <row r="36" spans="1:22" x14ac:dyDescent="0.2">
      <c r="A36" s="240" t="str">
        <f t="shared" ref="A36:B36" si="43">A24</f>
        <v>LAING</v>
      </c>
      <c r="B36" s="248">
        <f t="shared" si="43"/>
        <v>18</v>
      </c>
      <c r="C36" s="1">
        <f t="shared" ref="C36:T36" si="44">C12+IF(C24="●",-1)+IF(C24="●●",-2)</f>
        <v>5</v>
      </c>
      <c r="D36" s="1">
        <f t="shared" si="44"/>
        <v>8</v>
      </c>
      <c r="E36" s="1">
        <f t="shared" si="44"/>
        <v>5</v>
      </c>
      <c r="F36" s="1">
        <f t="shared" si="44"/>
        <v>8</v>
      </c>
      <c r="G36" s="1">
        <f t="shared" si="44"/>
        <v>5</v>
      </c>
      <c r="H36" s="1">
        <f t="shared" si="44"/>
        <v>8</v>
      </c>
      <c r="I36" s="1">
        <f t="shared" si="44"/>
        <v>5</v>
      </c>
      <c r="J36" s="1">
        <f t="shared" si="44"/>
        <v>8</v>
      </c>
      <c r="K36" s="1">
        <f t="shared" si="44"/>
        <v>-1</v>
      </c>
      <c r="L36" s="1">
        <f t="shared" si="44"/>
        <v>-1</v>
      </c>
      <c r="M36" s="1">
        <f t="shared" si="44"/>
        <v>-1</v>
      </c>
      <c r="N36" s="1">
        <f t="shared" si="44"/>
        <v>-1</v>
      </c>
      <c r="O36" s="1">
        <f t="shared" si="44"/>
        <v>-1</v>
      </c>
      <c r="P36" s="1">
        <f t="shared" si="44"/>
        <v>-1</v>
      </c>
      <c r="Q36" s="1">
        <f t="shared" si="44"/>
        <v>-1</v>
      </c>
      <c r="R36" s="1">
        <f t="shared" si="44"/>
        <v>-1</v>
      </c>
      <c r="S36" s="1">
        <f t="shared" si="44"/>
        <v>-1</v>
      </c>
      <c r="T36" s="1">
        <f t="shared" si="44"/>
        <v>-1</v>
      </c>
      <c r="U36" s="9"/>
      <c r="V36" s="98"/>
    </row>
    <row r="37" spans="1:22" x14ac:dyDescent="0.2">
      <c r="A37" s="240" t="str">
        <f t="shared" ref="A37:B37" si="45">A25</f>
        <v>REILLY</v>
      </c>
      <c r="B37" s="248">
        <f t="shared" si="45"/>
        <v>18</v>
      </c>
      <c r="C37" s="1">
        <f t="shared" ref="C37:T37" si="46">C13+IF(C25="●",-1)+IF(C25="●●",-2)</f>
        <v>5</v>
      </c>
      <c r="D37" s="1">
        <f t="shared" si="46"/>
        <v>-1</v>
      </c>
      <c r="E37" s="1">
        <f t="shared" si="46"/>
        <v>-1</v>
      </c>
      <c r="F37" s="1">
        <f t="shared" si="46"/>
        <v>-1</v>
      </c>
      <c r="G37" s="1">
        <f t="shared" si="46"/>
        <v>-1</v>
      </c>
      <c r="H37" s="1">
        <f t="shared" si="46"/>
        <v>-1</v>
      </c>
      <c r="I37" s="1">
        <f t="shared" si="46"/>
        <v>-1</v>
      </c>
      <c r="J37" s="1">
        <f t="shared" si="46"/>
        <v>-1</v>
      </c>
      <c r="K37" s="1">
        <f t="shared" si="46"/>
        <v>-1</v>
      </c>
      <c r="L37" s="1">
        <f t="shared" si="46"/>
        <v>-1</v>
      </c>
      <c r="M37" s="1">
        <f t="shared" si="46"/>
        <v>-1</v>
      </c>
      <c r="N37" s="1">
        <f t="shared" si="46"/>
        <v>-1</v>
      </c>
      <c r="O37" s="1">
        <f t="shared" si="46"/>
        <v>-1</v>
      </c>
      <c r="P37" s="1">
        <f t="shared" si="46"/>
        <v>-1</v>
      </c>
      <c r="Q37" s="1">
        <f t="shared" si="46"/>
        <v>-1</v>
      </c>
      <c r="R37" s="1">
        <f t="shared" si="46"/>
        <v>-1</v>
      </c>
      <c r="S37" s="1">
        <f t="shared" si="46"/>
        <v>-1</v>
      </c>
      <c r="T37" s="1">
        <f t="shared" si="46"/>
        <v>-1</v>
      </c>
      <c r="U37" s="9"/>
      <c r="V37" s="98"/>
    </row>
    <row r="38" spans="1:22" x14ac:dyDescent="0.2">
      <c r="A38" s="246" t="str">
        <f t="shared" ref="A38:B38" si="47">A26</f>
        <v>STONES</v>
      </c>
      <c r="B38" s="249">
        <f t="shared" si="47"/>
        <v>18</v>
      </c>
      <c r="C38" s="6">
        <f t="shared" ref="C38:T38" si="48">C14+IF(C26="●",-1)+IF(C26="●●",-2)</f>
        <v>5</v>
      </c>
      <c r="D38" s="6">
        <f t="shared" si="48"/>
        <v>3</v>
      </c>
      <c r="E38" s="6">
        <f t="shared" si="48"/>
        <v>3</v>
      </c>
      <c r="F38" s="6">
        <f t="shared" si="48"/>
        <v>6</v>
      </c>
      <c r="G38" s="6">
        <f t="shared" si="48"/>
        <v>3</v>
      </c>
      <c r="H38" s="6">
        <f t="shared" si="48"/>
        <v>3</v>
      </c>
      <c r="I38" s="6">
        <f t="shared" si="48"/>
        <v>3</v>
      </c>
      <c r="J38" s="6">
        <f t="shared" si="48"/>
        <v>3</v>
      </c>
      <c r="K38" s="6">
        <f t="shared" si="48"/>
        <v>3</v>
      </c>
      <c r="L38" s="6">
        <f t="shared" si="48"/>
        <v>3</v>
      </c>
      <c r="M38" s="6">
        <f t="shared" si="48"/>
        <v>3</v>
      </c>
      <c r="N38" s="6">
        <f t="shared" si="48"/>
        <v>3</v>
      </c>
      <c r="O38" s="6">
        <f t="shared" si="48"/>
        <v>3</v>
      </c>
      <c r="P38" s="6">
        <f t="shared" si="48"/>
        <v>3</v>
      </c>
      <c r="Q38" s="6">
        <f t="shared" si="48"/>
        <v>3</v>
      </c>
      <c r="R38" s="6">
        <f t="shared" si="48"/>
        <v>3</v>
      </c>
      <c r="S38" s="6">
        <f t="shared" si="48"/>
        <v>3</v>
      </c>
      <c r="T38" s="6">
        <f t="shared" si="48"/>
        <v>3</v>
      </c>
      <c r="U38" s="10"/>
      <c r="V38" s="98"/>
    </row>
    <row r="39" spans="1:22" x14ac:dyDescent="0.2">
      <c r="A39" s="99"/>
      <c r="V39" s="98"/>
    </row>
    <row r="40" spans="1:22" x14ac:dyDescent="0.2">
      <c r="A40" s="250"/>
      <c r="B40" s="251"/>
      <c r="C40" s="238">
        <f>C28</f>
        <v>1</v>
      </c>
      <c r="D40" s="238">
        <f t="shared" ref="D40:T42" si="49">D28</f>
        <v>2</v>
      </c>
      <c r="E40" s="238">
        <f t="shared" si="49"/>
        <v>3</v>
      </c>
      <c r="F40" s="238">
        <f t="shared" si="49"/>
        <v>4</v>
      </c>
      <c r="G40" s="238">
        <f t="shared" si="49"/>
        <v>5</v>
      </c>
      <c r="H40" s="238">
        <f t="shared" si="49"/>
        <v>6</v>
      </c>
      <c r="I40" s="238">
        <f t="shared" si="49"/>
        <v>7</v>
      </c>
      <c r="J40" s="238">
        <f t="shared" si="49"/>
        <v>8</v>
      </c>
      <c r="K40" s="238">
        <f t="shared" si="49"/>
        <v>9</v>
      </c>
      <c r="L40" s="238">
        <f t="shared" si="49"/>
        <v>10</v>
      </c>
      <c r="M40" s="238">
        <f t="shared" si="49"/>
        <v>11</v>
      </c>
      <c r="N40" s="238">
        <f t="shared" si="49"/>
        <v>12</v>
      </c>
      <c r="O40" s="238">
        <f t="shared" si="49"/>
        <v>13</v>
      </c>
      <c r="P40" s="238">
        <f t="shared" si="49"/>
        <v>14</v>
      </c>
      <c r="Q40" s="238">
        <f t="shared" si="49"/>
        <v>15</v>
      </c>
      <c r="R40" s="238">
        <f t="shared" si="49"/>
        <v>16</v>
      </c>
      <c r="S40" s="238">
        <f t="shared" si="49"/>
        <v>17</v>
      </c>
      <c r="T40" s="238">
        <f t="shared" si="49"/>
        <v>18</v>
      </c>
      <c r="U40" s="239" t="s">
        <v>2</v>
      </c>
      <c r="V40" s="245" t="s">
        <v>19</v>
      </c>
    </row>
    <row r="41" spans="1:22" x14ac:dyDescent="0.2">
      <c r="A41" s="252"/>
      <c r="B41" s="253"/>
      <c r="C41" s="242">
        <f t="shared" ref="C41:R42" si="50">C29</f>
        <v>4</v>
      </c>
      <c r="D41" s="242">
        <f t="shared" si="50"/>
        <v>3</v>
      </c>
      <c r="E41" s="242">
        <f t="shared" si="50"/>
        <v>4</v>
      </c>
      <c r="F41" s="242">
        <f t="shared" si="50"/>
        <v>4</v>
      </c>
      <c r="G41" s="242">
        <f t="shared" si="50"/>
        <v>4</v>
      </c>
      <c r="H41" s="242">
        <f t="shared" si="50"/>
        <v>4</v>
      </c>
      <c r="I41" s="242">
        <f t="shared" si="50"/>
        <v>4</v>
      </c>
      <c r="J41" s="242">
        <f t="shared" si="50"/>
        <v>3</v>
      </c>
      <c r="K41" s="242">
        <f t="shared" si="50"/>
        <v>5</v>
      </c>
      <c r="L41" s="242">
        <f t="shared" si="50"/>
        <v>5</v>
      </c>
      <c r="M41" s="242">
        <f t="shared" si="50"/>
        <v>4</v>
      </c>
      <c r="N41" s="242">
        <f t="shared" si="50"/>
        <v>3</v>
      </c>
      <c r="O41" s="242">
        <f t="shared" si="50"/>
        <v>5</v>
      </c>
      <c r="P41" s="242">
        <f t="shared" si="50"/>
        <v>4</v>
      </c>
      <c r="Q41" s="242">
        <f t="shared" si="50"/>
        <v>5</v>
      </c>
      <c r="R41" s="242">
        <f t="shared" si="50"/>
        <v>4</v>
      </c>
      <c r="S41" s="242">
        <f t="shared" si="49"/>
        <v>3</v>
      </c>
      <c r="T41" s="242">
        <f t="shared" si="49"/>
        <v>4</v>
      </c>
      <c r="U41" s="241"/>
      <c r="V41" s="98"/>
    </row>
    <row r="42" spans="1:22" x14ac:dyDescent="0.2">
      <c r="A42" s="252"/>
      <c r="B42" s="253"/>
      <c r="C42" s="243">
        <f t="shared" si="50"/>
        <v>9</v>
      </c>
      <c r="D42" s="243">
        <f t="shared" si="49"/>
        <v>13</v>
      </c>
      <c r="E42" s="243">
        <f t="shared" si="49"/>
        <v>5</v>
      </c>
      <c r="F42" s="243">
        <f t="shared" si="49"/>
        <v>1</v>
      </c>
      <c r="G42" s="243">
        <f t="shared" si="49"/>
        <v>11</v>
      </c>
      <c r="H42" s="243">
        <f t="shared" si="49"/>
        <v>15</v>
      </c>
      <c r="I42" s="243">
        <f t="shared" si="49"/>
        <v>7</v>
      </c>
      <c r="J42" s="243">
        <f t="shared" si="49"/>
        <v>17</v>
      </c>
      <c r="K42" s="243">
        <f t="shared" si="49"/>
        <v>3</v>
      </c>
      <c r="L42" s="243">
        <f t="shared" si="49"/>
        <v>4</v>
      </c>
      <c r="M42" s="243">
        <f t="shared" si="49"/>
        <v>14</v>
      </c>
      <c r="N42" s="243">
        <f t="shared" si="49"/>
        <v>16</v>
      </c>
      <c r="O42" s="243">
        <f t="shared" si="49"/>
        <v>10</v>
      </c>
      <c r="P42" s="243">
        <f t="shared" si="49"/>
        <v>6</v>
      </c>
      <c r="Q42" s="243">
        <f t="shared" si="49"/>
        <v>8</v>
      </c>
      <c r="R42" s="243">
        <f t="shared" si="49"/>
        <v>12</v>
      </c>
      <c r="S42" s="243">
        <f t="shared" si="49"/>
        <v>18</v>
      </c>
      <c r="T42" s="243">
        <f t="shared" si="49"/>
        <v>2</v>
      </c>
      <c r="U42" s="244"/>
      <c r="V42" s="98"/>
    </row>
    <row r="43" spans="1:22" x14ac:dyDescent="0.2">
      <c r="A43" s="252" t="str">
        <f>A31</f>
        <v>BELLIS</v>
      </c>
      <c r="B43" s="254">
        <f>B7</f>
        <v>18</v>
      </c>
      <c r="C43" s="3">
        <f>C31-C29</f>
        <v>0</v>
      </c>
      <c r="D43" s="3">
        <f t="shared" ref="D43:T43" si="51">D31-D29</f>
        <v>1</v>
      </c>
      <c r="E43" s="3">
        <f t="shared" si="51"/>
        <v>0</v>
      </c>
      <c r="F43" s="3">
        <f t="shared" si="51"/>
        <v>0</v>
      </c>
      <c r="G43" s="3">
        <f t="shared" si="51"/>
        <v>0</v>
      </c>
      <c r="H43" s="3">
        <f t="shared" si="51"/>
        <v>0</v>
      </c>
      <c r="I43" s="3">
        <f t="shared" si="51"/>
        <v>0</v>
      </c>
      <c r="J43" s="3">
        <f t="shared" si="51"/>
        <v>1</v>
      </c>
      <c r="K43" s="3">
        <f t="shared" si="51"/>
        <v>-1</v>
      </c>
      <c r="L43" s="3">
        <f t="shared" si="51"/>
        <v>-1</v>
      </c>
      <c r="M43" s="3">
        <f t="shared" si="51"/>
        <v>0</v>
      </c>
      <c r="N43" s="3">
        <f t="shared" si="51"/>
        <v>1</v>
      </c>
      <c r="O43" s="3">
        <f t="shared" si="51"/>
        <v>-1</v>
      </c>
      <c r="P43" s="3">
        <f t="shared" si="51"/>
        <v>0</v>
      </c>
      <c r="Q43" s="3">
        <f t="shared" si="51"/>
        <v>-1</v>
      </c>
      <c r="R43" s="3">
        <f t="shared" si="51"/>
        <v>0</v>
      </c>
      <c r="S43" s="3">
        <f t="shared" si="51"/>
        <v>1</v>
      </c>
      <c r="T43" s="3">
        <f t="shared" si="51"/>
        <v>0</v>
      </c>
      <c r="U43" s="4"/>
      <c r="V43" s="98"/>
    </row>
    <row r="44" spans="1:22" x14ac:dyDescent="0.2">
      <c r="A44" s="252" t="str">
        <f t="shared" ref="A44:A50" si="52">A32</f>
        <v>DEY</v>
      </c>
      <c r="B44" s="254">
        <f t="shared" ref="B44:B50" si="53">B8</f>
        <v>18</v>
      </c>
      <c r="C44" s="1">
        <f>C32-C29</f>
        <v>0</v>
      </c>
      <c r="D44" s="1">
        <f t="shared" ref="D44:T44" si="54">D32-D29</f>
        <v>5</v>
      </c>
      <c r="E44" s="1">
        <f t="shared" si="54"/>
        <v>1</v>
      </c>
      <c r="F44" s="1">
        <f t="shared" si="54"/>
        <v>4</v>
      </c>
      <c r="G44" s="1">
        <f t="shared" si="54"/>
        <v>1</v>
      </c>
      <c r="H44" s="1">
        <f t="shared" si="54"/>
        <v>4</v>
      </c>
      <c r="I44" s="1">
        <f t="shared" si="54"/>
        <v>1</v>
      </c>
      <c r="J44" s="1">
        <f t="shared" si="54"/>
        <v>5</v>
      </c>
      <c r="K44" s="1">
        <f t="shared" si="54"/>
        <v>-6</v>
      </c>
      <c r="L44" s="1">
        <f t="shared" si="54"/>
        <v>-6</v>
      </c>
      <c r="M44" s="1">
        <f t="shared" si="54"/>
        <v>-5</v>
      </c>
      <c r="N44" s="1">
        <f t="shared" si="54"/>
        <v>-4</v>
      </c>
      <c r="O44" s="1">
        <f t="shared" si="54"/>
        <v>-6</v>
      </c>
      <c r="P44" s="1">
        <f t="shared" si="54"/>
        <v>-5</v>
      </c>
      <c r="Q44" s="1">
        <f t="shared" si="54"/>
        <v>-6</v>
      </c>
      <c r="R44" s="1">
        <f t="shared" si="54"/>
        <v>-5</v>
      </c>
      <c r="S44" s="1">
        <f t="shared" si="54"/>
        <v>-4</v>
      </c>
      <c r="T44" s="1">
        <f t="shared" si="54"/>
        <v>-5</v>
      </c>
      <c r="U44" s="9"/>
      <c r="V44" s="98"/>
    </row>
    <row r="45" spans="1:22" x14ac:dyDescent="0.2">
      <c r="A45" s="252" t="str">
        <f t="shared" si="52"/>
        <v>DONOVAN</v>
      </c>
      <c r="B45" s="254">
        <f t="shared" si="53"/>
        <v>18</v>
      </c>
      <c r="C45" s="1">
        <f>C33-C29</f>
        <v>0</v>
      </c>
      <c r="D45" s="1">
        <f t="shared" ref="D45:T45" si="55">D33-D29</f>
        <v>5</v>
      </c>
      <c r="E45" s="1">
        <f t="shared" si="55"/>
        <v>1</v>
      </c>
      <c r="F45" s="1">
        <f t="shared" si="55"/>
        <v>4</v>
      </c>
      <c r="G45" s="1">
        <f t="shared" si="55"/>
        <v>1</v>
      </c>
      <c r="H45" s="1">
        <f t="shared" si="55"/>
        <v>4</v>
      </c>
      <c r="I45" s="1">
        <f t="shared" si="55"/>
        <v>1</v>
      </c>
      <c r="J45" s="1">
        <f t="shared" si="55"/>
        <v>5</v>
      </c>
      <c r="K45" s="1">
        <f t="shared" si="55"/>
        <v>-6</v>
      </c>
      <c r="L45" s="1">
        <f t="shared" si="55"/>
        <v>-6</v>
      </c>
      <c r="M45" s="1">
        <f t="shared" si="55"/>
        <v>-5</v>
      </c>
      <c r="N45" s="1">
        <f t="shared" si="55"/>
        <v>-4</v>
      </c>
      <c r="O45" s="1">
        <f t="shared" si="55"/>
        <v>-6</v>
      </c>
      <c r="P45" s="1">
        <f t="shared" si="55"/>
        <v>-5</v>
      </c>
      <c r="Q45" s="1">
        <f t="shared" si="55"/>
        <v>-6</v>
      </c>
      <c r="R45" s="1">
        <f t="shared" si="55"/>
        <v>-5</v>
      </c>
      <c r="S45" s="1">
        <f t="shared" si="55"/>
        <v>-4</v>
      </c>
      <c r="T45" s="1">
        <f t="shared" si="55"/>
        <v>-5</v>
      </c>
      <c r="U45" s="9"/>
      <c r="V45" s="98"/>
    </row>
    <row r="46" spans="1:22" x14ac:dyDescent="0.2">
      <c r="A46" s="252" t="str">
        <f t="shared" si="52"/>
        <v>FINDLAY</v>
      </c>
      <c r="B46" s="254">
        <f t="shared" si="53"/>
        <v>18</v>
      </c>
      <c r="C46" s="1">
        <f>C34-C29</f>
        <v>0</v>
      </c>
      <c r="D46" s="1">
        <f t="shared" ref="D46:T46" si="56">D34-D29</f>
        <v>0</v>
      </c>
      <c r="E46" s="1">
        <f t="shared" si="56"/>
        <v>1</v>
      </c>
      <c r="F46" s="1">
        <f t="shared" si="56"/>
        <v>-1</v>
      </c>
      <c r="G46" s="1">
        <f t="shared" si="56"/>
        <v>1</v>
      </c>
      <c r="H46" s="1">
        <f t="shared" si="56"/>
        <v>4</v>
      </c>
      <c r="I46" s="1">
        <f t="shared" si="56"/>
        <v>1</v>
      </c>
      <c r="J46" s="1">
        <f t="shared" si="56"/>
        <v>0</v>
      </c>
      <c r="K46" s="1">
        <f t="shared" si="56"/>
        <v>-6</v>
      </c>
      <c r="L46" s="1">
        <f t="shared" si="56"/>
        <v>-6</v>
      </c>
      <c r="M46" s="1">
        <f t="shared" si="56"/>
        <v>-5</v>
      </c>
      <c r="N46" s="1">
        <f t="shared" si="56"/>
        <v>-4</v>
      </c>
      <c r="O46" s="1">
        <f t="shared" si="56"/>
        <v>-6</v>
      </c>
      <c r="P46" s="1">
        <f t="shared" si="56"/>
        <v>-5</v>
      </c>
      <c r="Q46" s="1">
        <f t="shared" si="56"/>
        <v>-6</v>
      </c>
      <c r="R46" s="1">
        <f t="shared" si="56"/>
        <v>-5</v>
      </c>
      <c r="S46" s="1">
        <f t="shared" si="56"/>
        <v>-4</v>
      </c>
      <c r="T46" s="1">
        <f t="shared" si="56"/>
        <v>-5</v>
      </c>
      <c r="U46" s="9"/>
      <c r="V46" s="98"/>
    </row>
    <row r="47" spans="1:22" x14ac:dyDescent="0.2">
      <c r="A47" s="252" t="str">
        <f t="shared" si="52"/>
        <v>HOLLANDS</v>
      </c>
      <c r="B47" s="254">
        <f t="shared" si="53"/>
        <v>18</v>
      </c>
      <c r="C47" s="1">
        <f>C35-C29</f>
        <v>1</v>
      </c>
      <c r="D47" s="1">
        <f t="shared" ref="D47:T47" si="57">D35-D29</f>
        <v>0</v>
      </c>
      <c r="E47" s="1">
        <f t="shared" si="57"/>
        <v>1</v>
      </c>
      <c r="F47" s="1">
        <f t="shared" si="57"/>
        <v>4</v>
      </c>
      <c r="G47" s="1">
        <f t="shared" si="57"/>
        <v>1</v>
      </c>
      <c r="H47" s="1">
        <f t="shared" si="57"/>
        <v>4</v>
      </c>
      <c r="I47" s="1">
        <f t="shared" si="57"/>
        <v>1</v>
      </c>
      <c r="J47" s="1">
        <f t="shared" si="57"/>
        <v>5</v>
      </c>
      <c r="K47" s="1">
        <f t="shared" si="57"/>
        <v>-6</v>
      </c>
      <c r="L47" s="1">
        <f t="shared" si="57"/>
        <v>-6</v>
      </c>
      <c r="M47" s="1">
        <f t="shared" si="57"/>
        <v>-5</v>
      </c>
      <c r="N47" s="1">
        <f t="shared" si="57"/>
        <v>-4</v>
      </c>
      <c r="O47" s="1">
        <f t="shared" si="57"/>
        <v>-6</v>
      </c>
      <c r="P47" s="1">
        <f t="shared" si="57"/>
        <v>-5</v>
      </c>
      <c r="Q47" s="1">
        <f t="shared" si="57"/>
        <v>-6</v>
      </c>
      <c r="R47" s="1">
        <f t="shared" si="57"/>
        <v>-5</v>
      </c>
      <c r="S47" s="1">
        <f t="shared" si="57"/>
        <v>-4</v>
      </c>
      <c r="T47" s="1">
        <f t="shared" si="57"/>
        <v>-5</v>
      </c>
      <c r="U47" s="9"/>
      <c r="V47" s="98"/>
    </row>
    <row r="48" spans="1:22" x14ac:dyDescent="0.2">
      <c r="A48" s="252" t="str">
        <f t="shared" si="52"/>
        <v>LAING</v>
      </c>
      <c r="B48" s="254">
        <f t="shared" si="53"/>
        <v>18</v>
      </c>
      <c r="C48" s="1">
        <f>C36-C29</f>
        <v>1</v>
      </c>
      <c r="D48" s="1">
        <f t="shared" ref="D48:T48" si="58">D36-D29</f>
        <v>5</v>
      </c>
      <c r="E48" s="1">
        <f t="shared" si="58"/>
        <v>1</v>
      </c>
      <c r="F48" s="1">
        <f t="shared" si="58"/>
        <v>4</v>
      </c>
      <c r="G48" s="1">
        <f t="shared" si="58"/>
        <v>1</v>
      </c>
      <c r="H48" s="1">
        <f t="shared" si="58"/>
        <v>4</v>
      </c>
      <c r="I48" s="1">
        <f t="shared" si="58"/>
        <v>1</v>
      </c>
      <c r="J48" s="1">
        <f t="shared" si="58"/>
        <v>5</v>
      </c>
      <c r="K48" s="1">
        <f t="shared" si="58"/>
        <v>-6</v>
      </c>
      <c r="L48" s="1">
        <f t="shared" si="58"/>
        <v>-6</v>
      </c>
      <c r="M48" s="1">
        <f t="shared" si="58"/>
        <v>-5</v>
      </c>
      <c r="N48" s="1">
        <f t="shared" si="58"/>
        <v>-4</v>
      </c>
      <c r="O48" s="1">
        <f t="shared" si="58"/>
        <v>-6</v>
      </c>
      <c r="P48" s="1">
        <f t="shared" si="58"/>
        <v>-5</v>
      </c>
      <c r="Q48" s="1">
        <f t="shared" si="58"/>
        <v>-6</v>
      </c>
      <c r="R48" s="1">
        <f t="shared" si="58"/>
        <v>-5</v>
      </c>
      <c r="S48" s="1">
        <f t="shared" si="58"/>
        <v>-4</v>
      </c>
      <c r="T48" s="1">
        <f t="shared" si="58"/>
        <v>-5</v>
      </c>
      <c r="U48" s="9"/>
      <c r="V48" s="98"/>
    </row>
    <row r="49" spans="1:22" x14ac:dyDescent="0.2">
      <c r="A49" s="252" t="str">
        <f t="shared" si="52"/>
        <v>REILLY</v>
      </c>
      <c r="B49" s="254">
        <f t="shared" si="53"/>
        <v>18</v>
      </c>
      <c r="C49" s="1">
        <f>C37-C29</f>
        <v>1</v>
      </c>
      <c r="D49" s="1">
        <f t="shared" ref="D49:T49" si="59">D37-D29</f>
        <v>-4</v>
      </c>
      <c r="E49" s="1">
        <f t="shared" si="59"/>
        <v>-5</v>
      </c>
      <c r="F49" s="1">
        <f t="shared" si="59"/>
        <v>-5</v>
      </c>
      <c r="G49" s="1">
        <f t="shared" si="59"/>
        <v>-5</v>
      </c>
      <c r="H49" s="1">
        <f t="shared" si="59"/>
        <v>-5</v>
      </c>
      <c r="I49" s="1">
        <f t="shared" si="59"/>
        <v>-5</v>
      </c>
      <c r="J49" s="1">
        <f t="shared" si="59"/>
        <v>-4</v>
      </c>
      <c r="K49" s="1">
        <f t="shared" si="59"/>
        <v>-6</v>
      </c>
      <c r="L49" s="1">
        <f t="shared" si="59"/>
        <v>-6</v>
      </c>
      <c r="M49" s="1">
        <f t="shared" si="59"/>
        <v>-5</v>
      </c>
      <c r="N49" s="1">
        <f t="shared" si="59"/>
        <v>-4</v>
      </c>
      <c r="O49" s="1">
        <f t="shared" si="59"/>
        <v>-6</v>
      </c>
      <c r="P49" s="1">
        <f t="shared" si="59"/>
        <v>-5</v>
      </c>
      <c r="Q49" s="1">
        <f t="shared" si="59"/>
        <v>-6</v>
      </c>
      <c r="R49" s="1">
        <f t="shared" si="59"/>
        <v>-5</v>
      </c>
      <c r="S49" s="1">
        <f t="shared" si="59"/>
        <v>-4</v>
      </c>
      <c r="T49" s="1">
        <f t="shared" si="59"/>
        <v>-5</v>
      </c>
      <c r="U49" s="9"/>
      <c r="V49" s="98"/>
    </row>
    <row r="50" spans="1:22" x14ac:dyDescent="0.2">
      <c r="A50" s="255" t="str">
        <f t="shared" si="52"/>
        <v>STONES</v>
      </c>
      <c r="B50" s="256">
        <f t="shared" si="53"/>
        <v>18</v>
      </c>
      <c r="C50" s="6">
        <f>C38-C29</f>
        <v>1</v>
      </c>
      <c r="D50" s="6">
        <f t="shared" ref="D50:T50" si="60">D38-D29</f>
        <v>0</v>
      </c>
      <c r="E50" s="6">
        <f t="shared" si="60"/>
        <v>-1</v>
      </c>
      <c r="F50" s="6">
        <f t="shared" si="60"/>
        <v>2</v>
      </c>
      <c r="G50" s="6">
        <f t="shared" si="60"/>
        <v>-1</v>
      </c>
      <c r="H50" s="6">
        <f t="shared" si="60"/>
        <v>-1</v>
      </c>
      <c r="I50" s="6">
        <f t="shared" si="60"/>
        <v>-1</v>
      </c>
      <c r="J50" s="6">
        <f t="shared" si="60"/>
        <v>0</v>
      </c>
      <c r="K50" s="6">
        <f t="shared" si="60"/>
        <v>-2</v>
      </c>
      <c r="L50" s="6">
        <f t="shared" si="60"/>
        <v>-2</v>
      </c>
      <c r="M50" s="6">
        <f t="shared" si="60"/>
        <v>-1</v>
      </c>
      <c r="N50" s="6">
        <f t="shared" si="60"/>
        <v>0</v>
      </c>
      <c r="O50" s="6">
        <f t="shared" si="60"/>
        <v>-2</v>
      </c>
      <c r="P50" s="6">
        <f t="shared" si="60"/>
        <v>-1</v>
      </c>
      <c r="Q50" s="6">
        <f t="shared" si="60"/>
        <v>-2</v>
      </c>
      <c r="R50" s="6">
        <f t="shared" si="60"/>
        <v>-1</v>
      </c>
      <c r="S50" s="6">
        <f t="shared" si="60"/>
        <v>0</v>
      </c>
      <c r="T50" s="6">
        <f t="shared" si="60"/>
        <v>-1</v>
      </c>
      <c r="U50" s="10"/>
      <c r="V50" s="98"/>
    </row>
    <row r="51" spans="1:22" x14ac:dyDescent="0.2">
      <c r="A51" s="99"/>
      <c r="V51" s="98"/>
    </row>
    <row r="52" spans="1:22" x14ac:dyDescent="0.2">
      <c r="A52" s="235"/>
      <c r="B52" s="247"/>
      <c r="C52" s="238">
        <f>C40</f>
        <v>1</v>
      </c>
      <c r="D52" s="238">
        <f t="shared" ref="D52:T54" si="61">D40</f>
        <v>2</v>
      </c>
      <c r="E52" s="238">
        <f t="shared" si="61"/>
        <v>3</v>
      </c>
      <c r="F52" s="238">
        <f t="shared" si="61"/>
        <v>4</v>
      </c>
      <c r="G52" s="238">
        <f t="shared" si="61"/>
        <v>5</v>
      </c>
      <c r="H52" s="238">
        <f t="shared" si="61"/>
        <v>6</v>
      </c>
      <c r="I52" s="238">
        <f t="shared" si="61"/>
        <v>7</v>
      </c>
      <c r="J52" s="238">
        <f t="shared" si="61"/>
        <v>8</v>
      </c>
      <c r="K52" s="238">
        <f t="shared" si="61"/>
        <v>9</v>
      </c>
      <c r="L52" s="238">
        <f t="shared" si="61"/>
        <v>10</v>
      </c>
      <c r="M52" s="238">
        <f t="shared" si="61"/>
        <v>11</v>
      </c>
      <c r="N52" s="238">
        <f t="shared" si="61"/>
        <v>12</v>
      </c>
      <c r="O52" s="238">
        <f t="shared" si="61"/>
        <v>13</v>
      </c>
      <c r="P52" s="238">
        <f t="shared" si="61"/>
        <v>14</v>
      </c>
      <c r="Q52" s="238">
        <f t="shared" si="61"/>
        <v>15</v>
      </c>
      <c r="R52" s="238">
        <f t="shared" si="61"/>
        <v>16</v>
      </c>
      <c r="S52" s="238">
        <f t="shared" si="61"/>
        <v>17</v>
      </c>
      <c r="T52" s="238">
        <f t="shared" si="61"/>
        <v>18</v>
      </c>
      <c r="U52" s="239" t="s">
        <v>2</v>
      </c>
      <c r="V52" s="245" t="s">
        <v>19</v>
      </c>
    </row>
    <row r="53" spans="1:22" x14ac:dyDescent="0.2">
      <c r="A53" s="240"/>
      <c r="B53" s="241"/>
      <c r="C53" s="242">
        <f t="shared" ref="C53:R54" si="62">C41</f>
        <v>4</v>
      </c>
      <c r="D53" s="242">
        <f t="shared" si="62"/>
        <v>3</v>
      </c>
      <c r="E53" s="242">
        <f t="shared" si="62"/>
        <v>4</v>
      </c>
      <c r="F53" s="242">
        <f t="shared" si="62"/>
        <v>4</v>
      </c>
      <c r="G53" s="242">
        <f t="shared" si="62"/>
        <v>4</v>
      </c>
      <c r="H53" s="242">
        <f t="shared" si="62"/>
        <v>4</v>
      </c>
      <c r="I53" s="242">
        <f t="shared" si="62"/>
        <v>4</v>
      </c>
      <c r="J53" s="242">
        <f t="shared" si="62"/>
        <v>3</v>
      </c>
      <c r="K53" s="242">
        <f t="shared" si="62"/>
        <v>5</v>
      </c>
      <c r="L53" s="242">
        <f t="shared" si="62"/>
        <v>5</v>
      </c>
      <c r="M53" s="242">
        <f t="shared" si="62"/>
        <v>4</v>
      </c>
      <c r="N53" s="242">
        <f t="shared" si="62"/>
        <v>3</v>
      </c>
      <c r="O53" s="242">
        <f t="shared" si="62"/>
        <v>5</v>
      </c>
      <c r="P53" s="242">
        <f t="shared" si="62"/>
        <v>4</v>
      </c>
      <c r="Q53" s="242">
        <f t="shared" si="62"/>
        <v>5</v>
      </c>
      <c r="R53" s="242">
        <f t="shared" si="62"/>
        <v>4</v>
      </c>
      <c r="S53" s="242">
        <f t="shared" si="61"/>
        <v>3</v>
      </c>
      <c r="T53" s="242">
        <f t="shared" si="61"/>
        <v>4</v>
      </c>
      <c r="U53" s="241"/>
      <c r="V53" s="98"/>
    </row>
    <row r="54" spans="1:22" x14ac:dyDescent="0.2">
      <c r="A54" s="240"/>
      <c r="B54" s="241"/>
      <c r="C54" s="243">
        <f t="shared" si="62"/>
        <v>9</v>
      </c>
      <c r="D54" s="243">
        <f t="shared" si="61"/>
        <v>13</v>
      </c>
      <c r="E54" s="243">
        <f t="shared" si="61"/>
        <v>5</v>
      </c>
      <c r="F54" s="243">
        <f t="shared" si="61"/>
        <v>1</v>
      </c>
      <c r="G54" s="243">
        <f t="shared" si="61"/>
        <v>11</v>
      </c>
      <c r="H54" s="243">
        <f t="shared" si="61"/>
        <v>15</v>
      </c>
      <c r="I54" s="243">
        <f t="shared" si="61"/>
        <v>7</v>
      </c>
      <c r="J54" s="243">
        <f t="shared" si="61"/>
        <v>17</v>
      </c>
      <c r="K54" s="243">
        <f t="shared" si="61"/>
        <v>3</v>
      </c>
      <c r="L54" s="243">
        <f t="shared" si="61"/>
        <v>4</v>
      </c>
      <c r="M54" s="243">
        <f t="shared" si="61"/>
        <v>14</v>
      </c>
      <c r="N54" s="243">
        <f t="shared" si="61"/>
        <v>16</v>
      </c>
      <c r="O54" s="243">
        <f t="shared" si="61"/>
        <v>10</v>
      </c>
      <c r="P54" s="243">
        <f t="shared" si="61"/>
        <v>6</v>
      </c>
      <c r="Q54" s="243">
        <f t="shared" si="61"/>
        <v>8</v>
      </c>
      <c r="R54" s="243">
        <f t="shared" si="61"/>
        <v>12</v>
      </c>
      <c r="S54" s="243">
        <f t="shared" si="61"/>
        <v>18</v>
      </c>
      <c r="T54" s="243">
        <f t="shared" si="61"/>
        <v>2</v>
      </c>
      <c r="U54" s="244"/>
      <c r="V54" s="98"/>
    </row>
    <row r="55" spans="1:22" x14ac:dyDescent="0.2">
      <c r="A55" s="240" t="str">
        <f>A7</f>
        <v>BELLIS</v>
      </c>
      <c r="B55" s="248">
        <f>B7</f>
        <v>18</v>
      </c>
      <c r="C55" s="2">
        <f>IF(C43=-4,6)+(IF(C43=-3,5))+(IF(C43=-2,4))+(IF(C43=-1,3))+(IF(C43=0,2))+(IF(C43=1,1))+(IF(C43&gt;=2,0))</f>
        <v>2</v>
      </c>
      <c r="D55" s="3">
        <f t="shared" ref="D55:T55" si="63">IF(D43=-4,6)+(IF(D43=-3,5))+(IF(D43=-2,4))+(IF(D43=-1,3))+(IF(D43=0,2))+(IF(D43=1,1))+(IF(D43&gt;=2,0))</f>
        <v>1</v>
      </c>
      <c r="E55" s="3">
        <f t="shared" si="63"/>
        <v>2</v>
      </c>
      <c r="F55" s="3">
        <f t="shared" si="63"/>
        <v>2</v>
      </c>
      <c r="G55" s="3">
        <f t="shared" si="63"/>
        <v>2</v>
      </c>
      <c r="H55" s="3">
        <f t="shared" si="63"/>
        <v>2</v>
      </c>
      <c r="I55" s="3">
        <f t="shared" si="63"/>
        <v>2</v>
      </c>
      <c r="J55" s="3">
        <f t="shared" si="63"/>
        <v>1</v>
      </c>
      <c r="K55" s="3">
        <f t="shared" si="63"/>
        <v>3</v>
      </c>
      <c r="L55" s="3">
        <f t="shared" si="63"/>
        <v>3</v>
      </c>
      <c r="M55" s="3">
        <f t="shared" si="63"/>
        <v>2</v>
      </c>
      <c r="N55" s="3">
        <f t="shared" si="63"/>
        <v>1</v>
      </c>
      <c r="O55" s="3">
        <f t="shared" si="63"/>
        <v>3</v>
      </c>
      <c r="P55" s="3">
        <f t="shared" si="63"/>
        <v>2</v>
      </c>
      <c r="Q55" s="3">
        <f t="shared" si="63"/>
        <v>3</v>
      </c>
      <c r="R55" s="3">
        <f t="shared" si="63"/>
        <v>2</v>
      </c>
      <c r="S55" s="3">
        <f t="shared" si="63"/>
        <v>1</v>
      </c>
      <c r="T55" s="3">
        <f t="shared" si="63"/>
        <v>2</v>
      </c>
      <c r="U55" s="16">
        <f>SUM(C55:T55)</f>
        <v>36</v>
      </c>
      <c r="V55" s="98"/>
    </row>
    <row r="56" spans="1:22" x14ac:dyDescent="0.2">
      <c r="A56" s="240" t="str">
        <f t="shared" ref="A56:B56" si="64">A8</f>
        <v>DEY</v>
      </c>
      <c r="B56" s="248">
        <f t="shared" si="64"/>
        <v>18</v>
      </c>
      <c r="C56" s="11">
        <f t="shared" ref="C56:T56" si="65">IF(C44=-4,6)+(IF(C44=-3,5))+(IF(C44=-2,4))+(IF(C44=-1,3))+(IF(C44=0,2))+(IF(C44=1,1))+(IF(C44&gt;=2,0))</f>
        <v>2</v>
      </c>
      <c r="D56" s="1">
        <f t="shared" si="65"/>
        <v>0</v>
      </c>
      <c r="E56" s="1">
        <f t="shared" si="65"/>
        <v>1</v>
      </c>
      <c r="F56" s="1">
        <f t="shared" si="65"/>
        <v>0</v>
      </c>
      <c r="G56" s="1">
        <f t="shared" si="65"/>
        <v>1</v>
      </c>
      <c r="H56" s="1">
        <f t="shared" si="65"/>
        <v>0</v>
      </c>
      <c r="I56" s="1">
        <f t="shared" si="65"/>
        <v>1</v>
      </c>
      <c r="J56" s="1">
        <f t="shared" si="65"/>
        <v>0</v>
      </c>
      <c r="K56" s="1">
        <f t="shared" si="65"/>
        <v>0</v>
      </c>
      <c r="L56" s="1">
        <f t="shared" si="65"/>
        <v>0</v>
      </c>
      <c r="M56" s="1">
        <f t="shared" si="65"/>
        <v>0</v>
      </c>
      <c r="N56" s="1">
        <f t="shared" si="65"/>
        <v>6</v>
      </c>
      <c r="O56" s="1">
        <f t="shared" si="65"/>
        <v>0</v>
      </c>
      <c r="P56" s="1">
        <f t="shared" si="65"/>
        <v>0</v>
      </c>
      <c r="Q56" s="1">
        <f t="shared" si="65"/>
        <v>0</v>
      </c>
      <c r="R56" s="1">
        <f t="shared" si="65"/>
        <v>0</v>
      </c>
      <c r="S56" s="1">
        <f t="shared" si="65"/>
        <v>6</v>
      </c>
      <c r="T56" s="1">
        <f t="shared" si="65"/>
        <v>0</v>
      </c>
      <c r="U56" s="8">
        <f t="shared" ref="U56:U62" si="66">SUM(C56:T56)</f>
        <v>17</v>
      </c>
      <c r="V56" s="98"/>
    </row>
    <row r="57" spans="1:22" x14ac:dyDescent="0.2">
      <c r="A57" s="240" t="str">
        <f t="shared" ref="A57:B57" si="67">A9</f>
        <v>DONOVAN</v>
      </c>
      <c r="B57" s="248">
        <f t="shared" si="67"/>
        <v>18</v>
      </c>
      <c r="C57" s="11">
        <f t="shared" ref="C57:T57" si="68">IF(C45=-4,6)+(IF(C45=-3,5))+(IF(C45=-2,4))+(IF(C45=-1,3))+(IF(C45=0,2))+(IF(C45=1,1))+(IF(C45&gt;=2,0))</f>
        <v>2</v>
      </c>
      <c r="D57" s="1">
        <f t="shared" si="68"/>
        <v>0</v>
      </c>
      <c r="E57" s="1">
        <f t="shared" si="68"/>
        <v>1</v>
      </c>
      <c r="F57" s="1">
        <f t="shared" si="68"/>
        <v>0</v>
      </c>
      <c r="G57" s="1">
        <f t="shared" si="68"/>
        <v>1</v>
      </c>
      <c r="H57" s="1">
        <f t="shared" si="68"/>
        <v>0</v>
      </c>
      <c r="I57" s="1">
        <f t="shared" si="68"/>
        <v>1</v>
      </c>
      <c r="J57" s="14">
        <f t="shared" si="68"/>
        <v>0</v>
      </c>
      <c r="K57" s="1">
        <f t="shared" si="68"/>
        <v>0</v>
      </c>
      <c r="L57" s="1">
        <f t="shared" si="68"/>
        <v>0</v>
      </c>
      <c r="M57" s="1">
        <f t="shared" si="68"/>
        <v>0</v>
      </c>
      <c r="N57" s="1">
        <f t="shared" si="68"/>
        <v>6</v>
      </c>
      <c r="O57" s="1">
        <f t="shared" si="68"/>
        <v>0</v>
      </c>
      <c r="P57" s="1">
        <f t="shared" si="68"/>
        <v>0</v>
      </c>
      <c r="Q57" s="1">
        <f t="shared" si="68"/>
        <v>0</v>
      </c>
      <c r="R57" s="1">
        <f t="shared" si="68"/>
        <v>0</v>
      </c>
      <c r="S57" s="1">
        <f t="shared" si="68"/>
        <v>6</v>
      </c>
      <c r="T57" s="1">
        <f t="shared" si="68"/>
        <v>0</v>
      </c>
      <c r="U57" s="8">
        <f t="shared" si="66"/>
        <v>17</v>
      </c>
      <c r="V57" s="98"/>
    </row>
    <row r="58" spans="1:22" x14ac:dyDescent="0.2">
      <c r="A58" s="240" t="str">
        <f t="shared" ref="A58:B58" si="69">A10</f>
        <v>FINDLAY</v>
      </c>
      <c r="B58" s="248">
        <f t="shared" si="69"/>
        <v>18</v>
      </c>
      <c r="C58" s="11">
        <f t="shared" ref="C58:T58" si="70">IF(C46=-4,6)+(IF(C46=-3,5))+(IF(C46=-2,4))+(IF(C46=-1,3))+(IF(C46=0,2))+(IF(C46=1,1))+(IF(C46&gt;=2,0))</f>
        <v>2</v>
      </c>
      <c r="D58" s="1">
        <f t="shared" si="70"/>
        <v>2</v>
      </c>
      <c r="E58" s="1">
        <f t="shared" si="70"/>
        <v>1</v>
      </c>
      <c r="F58" s="1">
        <f t="shared" si="70"/>
        <v>3</v>
      </c>
      <c r="G58" s="1">
        <f t="shared" si="70"/>
        <v>1</v>
      </c>
      <c r="H58" s="1">
        <f t="shared" si="70"/>
        <v>0</v>
      </c>
      <c r="I58" s="1">
        <f t="shared" si="70"/>
        <v>1</v>
      </c>
      <c r="J58" s="14">
        <f t="shared" si="70"/>
        <v>2</v>
      </c>
      <c r="K58" s="1">
        <f t="shared" si="70"/>
        <v>0</v>
      </c>
      <c r="L58" s="1">
        <f t="shared" si="70"/>
        <v>0</v>
      </c>
      <c r="M58" s="1">
        <f t="shared" si="70"/>
        <v>0</v>
      </c>
      <c r="N58" s="1">
        <f t="shared" si="70"/>
        <v>6</v>
      </c>
      <c r="O58" s="1">
        <f t="shared" si="70"/>
        <v>0</v>
      </c>
      <c r="P58" s="1">
        <f t="shared" si="70"/>
        <v>0</v>
      </c>
      <c r="Q58" s="1">
        <f t="shared" si="70"/>
        <v>0</v>
      </c>
      <c r="R58" s="1">
        <f t="shared" si="70"/>
        <v>0</v>
      </c>
      <c r="S58" s="1">
        <f t="shared" si="70"/>
        <v>6</v>
      </c>
      <c r="T58" s="1">
        <f t="shared" si="70"/>
        <v>0</v>
      </c>
      <c r="U58" s="8">
        <f t="shared" si="66"/>
        <v>24</v>
      </c>
      <c r="V58" s="98"/>
    </row>
    <row r="59" spans="1:22" x14ac:dyDescent="0.2">
      <c r="A59" s="240" t="str">
        <f t="shared" ref="A59:B59" si="71">A11</f>
        <v>HOLLANDS</v>
      </c>
      <c r="B59" s="248">
        <f t="shared" si="71"/>
        <v>18</v>
      </c>
      <c r="C59" s="11">
        <f t="shared" ref="C59:T59" si="72">IF(C47=-4,6)+(IF(C47=-3,5))+(IF(C47=-2,4))+(IF(C47=-1,3))+(IF(C47=0,2))+(IF(C47=1,1))+(IF(C47&gt;=2,0))</f>
        <v>1</v>
      </c>
      <c r="D59" s="1">
        <f t="shared" si="72"/>
        <v>2</v>
      </c>
      <c r="E59" s="1">
        <f t="shared" si="72"/>
        <v>1</v>
      </c>
      <c r="F59" s="1">
        <f t="shared" si="72"/>
        <v>0</v>
      </c>
      <c r="G59" s="1">
        <f t="shared" si="72"/>
        <v>1</v>
      </c>
      <c r="H59" s="1">
        <f t="shared" si="72"/>
        <v>0</v>
      </c>
      <c r="I59" s="1">
        <f t="shared" si="72"/>
        <v>1</v>
      </c>
      <c r="J59" s="15">
        <f t="shared" si="72"/>
        <v>0</v>
      </c>
      <c r="K59" s="13">
        <f t="shared" si="72"/>
        <v>0</v>
      </c>
      <c r="L59" s="1">
        <f t="shared" si="72"/>
        <v>0</v>
      </c>
      <c r="M59" s="1">
        <f t="shared" si="72"/>
        <v>0</v>
      </c>
      <c r="N59" s="1">
        <f t="shared" si="72"/>
        <v>6</v>
      </c>
      <c r="O59" s="1">
        <f t="shared" si="72"/>
        <v>0</v>
      </c>
      <c r="P59" s="1">
        <f t="shared" si="72"/>
        <v>0</v>
      </c>
      <c r="Q59" s="1">
        <f t="shared" si="72"/>
        <v>0</v>
      </c>
      <c r="R59" s="1">
        <f t="shared" si="72"/>
        <v>0</v>
      </c>
      <c r="S59" s="1">
        <f t="shared" si="72"/>
        <v>6</v>
      </c>
      <c r="T59" s="1">
        <f t="shared" si="72"/>
        <v>0</v>
      </c>
      <c r="U59" s="8">
        <f t="shared" si="66"/>
        <v>18</v>
      </c>
      <c r="V59" s="98"/>
    </row>
    <row r="60" spans="1:22" x14ac:dyDescent="0.2">
      <c r="A60" s="240" t="str">
        <f t="shared" ref="A60:B60" si="73">A12</f>
        <v>LAING</v>
      </c>
      <c r="B60" s="248">
        <f t="shared" si="73"/>
        <v>18</v>
      </c>
      <c r="C60" s="11">
        <f t="shared" ref="C60:T60" si="74">IF(C48=-4,6)+(IF(C48=-3,5))+(IF(C48=-2,4))+(IF(C48=-1,3))+(IF(C48=0,2))+(IF(C48=1,1))+(IF(C48&gt;=2,0))</f>
        <v>1</v>
      </c>
      <c r="D60" s="1">
        <f t="shared" si="74"/>
        <v>0</v>
      </c>
      <c r="E60" s="1">
        <f t="shared" si="74"/>
        <v>1</v>
      </c>
      <c r="F60" s="1">
        <f t="shared" si="74"/>
        <v>0</v>
      </c>
      <c r="G60" s="1">
        <f t="shared" si="74"/>
        <v>1</v>
      </c>
      <c r="H60" s="1">
        <f t="shared" si="74"/>
        <v>0</v>
      </c>
      <c r="I60" s="1">
        <f t="shared" si="74"/>
        <v>1</v>
      </c>
      <c r="J60" s="1">
        <f t="shared" si="74"/>
        <v>0</v>
      </c>
      <c r="K60" s="1">
        <f t="shared" si="74"/>
        <v>0</v>
      </c>
      <c r="L60" s="1">
        <f t="shared" si="74"/>
        <v>0</v>
      </c>
      <c r="M60" s="1">
        <f t="shared" si="74"/>
        <v>0</v>
      </c>
      <c r="N60" s="1">
        <f t="shared" si="74"/>
        <v>6</v>
      </c>
      <c r="O60" s="1">
        <f t="shared" si="74"/>
        <v>0</v>
      </c>
      <c r="P60" s="1">
        <f t="shared" si="74"/>
        <v>0</v>
      </c>
      <c r="Q60" s="1">
        <f t="shared" si="74"/>
        <v>0</v>
      </c>
      <c r="R60" s="1">
        <f t="shared" si="74"/>
        <v>0</v>
      </c>
      <c r="S60" s="1">
        <f t="shared" si="74"/>
        <v>6</v>
      </c>
      <c r="T60" s="1">
        <f t="shared" si="74"/>
        <v>0</v>
      </c>
      <c r="U60" s="8">
        <f t="shared" si="66"/>
        <v>16</v>
      </c>
      <c r="V60" s="98"/>
    </row>
    <row r="61" spans="1:22" x14ac:dyDescent="0.2">
      <c r="A61" s="240" t="str">
        <f t="shared" ref="A61:B61" si="75">A13</f>
        <v>REILLY</v>
      </c>
      <c r="B61" s="248">
        <f t="shared" si="75"/>
        <v>18</v>
      </c>
      <c r="C61" s="11">
        <f t="shared" ref="C61:T61" si="76">IF(C49=-4,6)+(IF(C49=-3,5))+(IF(C49=-2,4))+(IF(C49=-1,3))+(IF(C49=0,2))+(IF(C49=1,1))+(IF(C49&gt;=2,0))</f>
        <v>1</v>
      </c>
      <c r="D61" s="1">
        <f t="shared" si="76"/>
        <v>6</v>
      </c>
      <c r="E61" s="1">
        <f t="shared" si="76"/>
        <v>0</v>
      </c>
      <c r="F61" s="1">
        <f t="shared" si="76"/>
        <v>0</v>
      </c>
      <c r="G61" s="1">
        <f t="shared" si="76"/>
        <v>0</v>
      </c>
      <c r="H61" s="1">
        <f t="shared" si="76"/>
        <v>0</v>
      </c>
      <c r="I61" s="1">
        <f t="shared" si="76"/>
        <v>0</v>
      </c>
      <c r="J61" s="1">
        <f t="shared" si="76"/>
        <v>6</v>
      </c>
      <c r="K61" s="1">
        <f t="shared" si="76"/>
        <v>0</v>
      </c>
      <c r="L61" s="1">
        <f t="shared" si="76"/>
        <v>0</v>
      </c>
      <c r="M61" s="1">
        <f t="shared" si="76"/>
        <v>0</v>
      </c>
      <c r="N61" s="1">
        <f t="shared" si="76"/>
        <v>6</v>
      </c>
      <c r="O61" s="1">
        <f t="shared" si="76"/>
        <v>0</v>
      </c>
      <c r="P61" s="1">
        <f t="shared" si="76"/>
        <v>0</v>
      </c>
      <c r="Q61" s="1">
        <f t="shared" si="76"/>
        <v>0</v>
      </c>
      <c r="R61" s="1">
        <f t="shared" si="76"/>
        <v>0</v>
      </c>
      <c r="S61" s="1">
        <f t="shared" si="76"/>
        <v>6</v>
      </c>
      <c r="T61" s="1">
        <f t="shared" si="76"/>
        <v>0</v>
      </c>
      <c r="U61" s="8">
        <f t="shared" si="66"/>
        <v>25</v>
      </c>
      <c r="V61" s="98"/>
    </row>
    <row r="62" spans="1:22" x14ac:dyDescent="0.2">
      <c r="A62" s="246" t="str">
        <f t="shared" ref="A62:B62" si="77">A14</f>
        <v>STONES</v>
      </c>
      <c r="B62" s="249">
        <f t="shared" si="77"/>
        <v>18</v>
      </c>
      <c r="C62" s="5">
        <f t="shared" ref="C62:T62" si="78">IF(C50=-4,6)+(IF(C50=-3,5))+(IF(C50=-2,4))+(IF(C50=-1,3))+(IF(C50=0,2))+(IF(C50=1,1))+(IF(C50&gt;=2,0))</f>
        <v>1</v>
      </c>
      <c r="D62" s="6">
        <f t="shared" si="78"/>
        <v>2</v>
      </c>
      <c r="E62" s="6">
        <f t="shared" si="78"/>
        <v>3</v>
      </c>
      <c r="F62" s="6">
        <f t="shared" si="78"/>
        <v>0</v>
      </c>
      <c r="G62" s="6">
        <f t="shared" si="78"/>
        <v>3</v>
      </c>
      <c r="H62" s="6">
        <f t="shared" si="78"/>
        <v>3</v>
      </c>
      <c r="I62" s="6">
        <f t="shared" si="78"/>
        <v>3</v>
      </c>
      <c r="J62" s="6">
        <f t="shared" si="78"/>
        <v>2</v>
      </c>
      <c r="K62" s="6">
        <f t="shared" si="78"/>
        <v>4</v>
      </c>
      <c r="L62" s="6">
        <f t="shared" si="78"/>
        <v>4</v>
      </c>
      <c r="M62" s="6">
        <f t="shared" si="78"/>
        <v>3</v>
      </c>
      <c r="N62" s="6">
        <f t="shared" si="78"/>
        <v>2</v>
      </c>
      <c r="O62" s="6">
        <f t="shared" si="78"/>
        <v>4</v>
      </c>
      <c r="P62" s="6">
        <f t="shared" si="78"/>
        <v>3</v>
      </c>
      <c r="Q62" s="6">
        <f t="shared" si="78"/>
        <v>4</v>
      </c>
      <c r="R62" s="6">
        <f t="shared" si="78"/>
        <v>3</v>
      </c>
      <c r="S62" s="6">
        <f t="shared" si="78"/>
        <v>2</v>
      </c>
      <c r="T62" s="6">
        <f t="shared" si="78"/>
        <v>3</v>
      </c>
      <c r="U62" s="7">
        <f t="shared" si="66"/>
        <v>49</v>
      </c>
      <c r="V62" s="98"/>
    </row>
    <row r="63" spans="1:22" ht="16" thickBot="1" x14ac:dyDescent="0.25">
      <c r="A63" s="10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2"/>
    </row>
    <row r="81" spans="1:23" ht="24" x14ac:dyDescent="0.3">
      <c r="C81" s="162">
        <v>1</v>
      </c>
      <c r="D81" s="163">
        <v>2</v>
      </c>
      <c r="E81" s="163">
        <v>3</v>
      </c>
      <c r="F81" s="163">
        <v>4</v>
      </c>
      <c r="G81" s="163">
        <v>5</v>
      </c>
      <c r="H81" s="163">
        <v>6</v>
      </c>
      <c r="I81" s="163">
        <v>7</v>
      </c>
      <c r="J81" s="163">
        <v>8</v>
      </c>
      <c r="K81" s="163">
        <v>9</v>
      </c>
      <c r="L81" s="164" t="s">
        <v>80</v>
      </c>
      <c r="M81" s="163">
        <v>10</v>
      </c>
      <c r="N81" s="163">
        <v>11</v>
      </c>
      <c r="O81" s="163">
        <v>12</v>
      </c>
      <c r="P81" s="163">
        <v>13</v>
      </c>
      <c r="Q81" s="163">
        <v>14</v>
      </c>
      <c r="R81" s="163">
        <v>15</v>
      </c>
      <c r="S81" s="163">
        <v>16</v>
      </c>
      <c r="T81" s="163">
        <v>17</v>
      </c>
      <c r="U81" s="163">
        <v>18</v>
      </c>
      <c r="V81" s="164" t="s">
        <v>81</v>
      </c>
      <c r="W81" s="165" t="s">
        <v>2</v>
      </c>
    </row>
    <row r="82" spans="1:23" ht="29" x14ac:dyDescent="0.35">
      <c r="C82" s="166">
        <f t="shared" ref="C82:K82" si="79">C5</f>
        <v>4</v>
      </c>
      <c r="D82" s="167">
        <f t="shared" si="79"/>
        <v>3</v>
      </c>
      <c r="E82" s="167">
        <f t="shared" si="79"/>
        <v>4</v>
      </c>
      <c r="F82" s="167">
        <f t="shared" si="79"/>
        <v>4</v>
      </c>
      <c r="G82" s="167">
        <f t="shared" si="79"/>
        <v>4</v>
      </c>
      <c r="H82" s="167">
        <f t="shared" si="79"/>
        <v>4</v>
      </c>
      <c r="I82" s="167">
        <f t="shared" si="79"/>
        <v>4</v>
      </c>
      <c r="J82" s="167">
        <f t="shared" si="79"/>
        <v>3</v>
      </c>
      <c r="K82" s="167">
        <f t="shared" si="79"/>
        <v>5</v>
      </c>
      <c r="L82" s="167">
        <f>SUM(C82:K82)</f>
        <v>35</v>
      </c>
      <c r="M82" s="167">
        <f t="shared" ref="M82:U82" si="80">L5</f>
        <v>5</v>
      </c>
      <c r="N82" s="167">
        <f t="shared" si="80"/>
        <v>4</v>
      </c>
      <c r="O82" s="167">
        <f t="shared" si="80"/>
        <v>3</v>
      </c>
      <c r="P82" s="167">
        <f t="shared" si="80"/>
        <v>5</v>
      </c>
      <c r="Q82" s="167">
        <f t="shared" si="80"/>
        <v>4</v>
      </c>
      <c r="R82" s="167">
        <f t="shared" si="80"/>
        <v>5</v>
      </c>
      <c r="S82" s="167">
        <f t="shared" si="80"/>
        <v>4</v>
      </c>
      <c r="T82" s="167">
        <f t="shared" si="80"/>
        <v>3</v>
      </c>
      <c r="U82" s="167">
        <f t="shared" si="80"/>
        <v>4</v>
      </c>
      <c r="V82" s="167">
        <f>SUM(M82:U82)</f>
        <v>37</v>
      </c>
      <c r="W82" s="168">
        <f>SUM(L82+V82)</f>
        <v>72</v>
      </c>
    </row>
    <row r="83" spans="1:23" x14ac:dyDescent="0.2">
      <c r="C83" s="169">
        <f t="shared" ref="C83:K83" si="81">C6</f>
        <v>9</v>
      </c>
      <c r="D83" s="170">
        <f t="shared" si="81"/>
        <v>13</v>
      </c>
      <c r="E83" s="170">
        <f t="shared" si="81"/>
        <v>5</v>
      </c>
      <c r="F83" s="170">
        <f t="shared" si="81"/>
        <v>1</v>
      </c>
      <c r="G83" s="170">
        <f t="shared" si="81"/>
        <v>11</v>
      </c>
      <c r="H83" s="170">
        <f t="shared" si="81"/>
        <v>15</v>
      </c>
      <c r="I83" s="170">
        <f t="shared" si="81"/>
        <v>7</v>
      </c>
      <c r="J83" s="170">
        <f t="shared" si="81"/>
        <v>17</v>
      </c>
      <c r="K83" s="170">
        <f t="shared" si="81"/>
        <v>3</v>
      </c>
      <c r="L83" s="171"/>
      <c r="M83" s="170">
        <f t="shared" ref="M83:U83" si="82">L6</f>
        <v>4</v>
      </c>
      <c r="N83" s="170">
        <f t="shared" si="82"/>
        <v>14</v>
      </c>
      <c r="O83" s="170">
        <f t="shared" si="82"/>
        <v>16</v>
      </c>
      <c r="P83" s="170">
        <f t="shared" si="82"/>
        <v>10</v>
      </c>
      <c r="Q83" s="170">
        <f t="shared" si="82"/>
        <v>6</v>
      </c>
      <c r="R83" s="170">
        <f t="shared" si="82"/>
        <v>8</v>
      </c>
      <c r="S83" s="170">
        <f t="shared" si="82"/>
        <v>12</v>
      </c>
      <c r="T83" s="170">
        <f t="shared" si="82"/>
        <v>18</v>
      </c>
      <c r="U83" s="170">
        <f t="shared" si="82"/>
        <v>2</v>
      </c>
      <c r="V83" s="161"/>
      <c r="W83" s="10"/>
    </row>
    <row r="84" spans="1:23" x14ac:dyDescent="0.2">
      <c r="C84" s="1" t="str">
        <f>C19</f>
        <v>●</v>
      </c>
      <c r="D84" s="1" t="str">
        <f t="shared" ref="D84:K84" si="83">D19</f>
        <v>●</v>
      </c>
      <c r="E84" s="1" t="str">
        <f t="shared" si="83"/>
        <v>●</v>
      </c>
      <c r="F84" s="1" t="str">
        <f t="shared" si="83"/>
        <v>●</v>
      </c>
      <c r="G84" s="1" t="str">
        <f t="shared" si="83"/>
        <v>●</v>
      </c>
      <c r="H84" s="1" t="str">
        <f t="shared" si="83"/>
        <v>●</v>
      </c>
      <c r="I84" s="1" t="str">
        <f t="shared" si="83"/>
        <v>●</v>
      </c>
      <c r="J84" s="1" t="str">
        <f t="shared" si="83"/>
        <v>●</v>
      </c>
      <c r="K84" s="1" t="str">
        <f t="shared" si="83"/>
        <v>●</v>
      </c>
      <c r="M84" s="1" t="str">
        <f>L19</f>
        <v>●</v>
      </c>
      <c r="N84" s="1" t="str">
        <f t="shared" ref="N84:U84" si="84">M19</f>
        <v>●</v>
      </c>
      <c r="O84" s="1" t="str">
        <f t="shared" si="84"/>
        <v>●</v>
      </c>
      <c r="P84" s="1" t="str">
        <f t="shared" si="84"/>
        <v>●</v>
      </c>
      <c r="Q84" s="1" t="str">
        <f t="shared" si="84"/>
        <v>●</v>
      </c>
      <c r="R84" s="1" t="str">
        <f t="shared" si="84"/>
        <v>●</v>
      </c>
      <c r="S84" s="1" t="str">
        <f t="shared" si="84"/>
        <v>●</v>
      </c>
      <c r="T84" s="1" t="str">
        <f t="shared" si="84"/>
        <v>●</v>
      </c>
      <c r="U84" s="1" t="str">
        <f t="shared" si="84"/>
        <v>●</v>
      </c>
      <c r="W84" s="1"/>
    </row>
    <row r="85" spans="1:23" x14ac:dyDescent="0.2">
      <c r="A85" t="str">
        <f>A7</f>
        <v>BELLIS</v>
      </c>
      <c r="B85">
        <f>B7</f>
        <v>18</v>
      </c>
      <c r="C85" s="1">
        <f>C7</f>
        <v>5</v>
      </c>
      <c r="D85" s="1">
        <f t="shared" ref="D85:K85" si="85">D7</f>
        <v>5</v>
      </c>
      <c r="E85" s="1">
        <f t="shared" si="85"/>
        <v>5</v>
      </c>
      <c r="F85" s="1">
        <f t="shared" si="85"/>
        <v>5</v>
      </c>
      <c r="G85" s="1">
        <f t="shared" si="85"/>
        <v>5</v>
      </c>
      <c r="H85" s="1">
        <f t="shared" si="85"/>
        <v>5</v>
      </c>
      <c r="I85" s="1">
        <f t="shared" si="85"/>
        <v>5</v>
      </c>
      <c r="J85" s="1">
        <f t="shared" si="85"/>
        <v>5</v>
      </c>
      <c r="K85" s="1">
        <f t="shared" si="85"/>
        <v>5</v>
      </c>
      <c r="L85" s="1">
        <f>SUM(C85:K85)</f>
        <v>45</v>
      </c>
      <c r="M85" s="1">
        <f>L7</f>
        <v>5</v>
      </c>
      <c r="N85" s="1">
        <f t="shared" ref="N85:U85" si="86">M7</f>
        <v>5</v>
      </c>
      <c r="O85" s="1">
        <f t="shared" si="86"/>
        <v>5</v>
      </c>
      <c r="P85" s="1">
        <f t="shared" si="86"/>
        <v>5</v>
      </c>
      <c r="Q85" s="1">
        <f t="shared" si="86"/>
        <v>5</v>
      </c>
      <c r="R85" s="1">
        <f t="shared" si="86"/>
        <v>5</v>
      </c>
      <c r="S85" s="1">
        <f t="shared" si="86"/>
        <v>5</v>
      </c>
      <c r="T85" s="1">
        <f t="shared" si="86"/>
        <v>5</v>
      </c>
      <c r="U85" s="1">
        <f t="shared" si="86"/>
        <v>5</v>
      </c>
      <c r="V85" s="1">
        <f>SUM(M85:U85)</f>
        <v>45</v>
      </c>
      <c r="W85" s="1">
        <f>SUM(L85+V85)</f>
        <v>90</v>
      </c>
    </row>
    <row r="86" spans="1:23" x14ac:dyDescent="0.2">
      <c r="C86" s="1">
        <f>C55</f>
        <v>2</v>
      </c>
      <c r="D86" s="1">
        <f t="shared" ref="D86:K86" si="87">D55</f>
        <v>1</v>
      </c>
      <c r="E86" s="1">
        <f t="shared" si="87"/>
        <v>2</v>
      </c>
      <c r="F86" s="1">
        <f t="shared" si="87"/>
        <v>2</v>
      </c>
      <c r="G86" s="1">
        <f t="shared" si="87"/>
        <v>2</v>
      </c>
      <c r="H86" s="1">
        <f t="shared" si="87"/>
        <v>2</v>
      </c>
      <c r="I86" s="1">
        <f t="shared" si="87"/>
        <v>2</v>
      </c>
      <c r="J86" s="1">
        <f t="shared" si="87"/>
        <v>1</v>
      </c>
      <c r="K86" s="1">
        <f t="shared" si="87"/>
        <v>3</v>
      </c>
      <c r="L86" s="1">
        <f>SUM(C86:K86)</f>
        <v>17</v>
      </c>
      <c r="M86" s="1">
        <f>L55</f>
        <v>3</v>
      </c>
      <c r="N86" s="1">
        <f t="shared" ref="N86:U86" si="88">M55</f>
        <v>2</v>
      </c>
      <c r="O86" s="1">
        <f t="shared" si="88"/>
        <v>1</v>
      </c>
      <c r="P86" s="1">
        <f t="shared" si="88"/>
        <v>3</v>
      </c>
      <c r="Q86" s="1">
        <f t="shared" si="88"/>
        <v>2</v>
      </c>
      <c r="R86" s="1">
        <f t="shared" si="88"/>
        <v>3</v>
      </c>
      <c r="S86" s="1">
        <f t="shared" si="88"/>
        <v>2</v>
      </c>
      <c r="T86" s="1">
        <f t="shared" si="88"/>
        <v>1</v>
      </c>
      <c r="U86" s="1">
        <f t="shared" si="88"/>
        <v>2</v>
      </c>
      <c r="V86" s="1">
        <f>SUM(M86:U86)</f>
        <v>19</v>
      </c>
      <c r="W86" s="1">
        <f>SUM(L86+V86)</f>
        <v>36</v>
      </c>
    </row>
  </sheetData>
  <mergeCells count="2">
    <mergeCell ref="A1:U2"/>
    <mergeCell ref="Y1:A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5890-8476-984E-80D5-154336AC2CCC}">
  <dimension ref="A3:W106"/>
  <sheetViews>
    <sheetView zoomScale="75" workbookViewId="0">
      <selection activeCell="I20" sqref="I20"/>
    </sheetView>
  </sheetViews>
  <sheetFormatPr baseColWidth="10" defaultColWidth="8.83203125" defaultRowHeight="15" x14ac:dyDescent="0.2"/>
  <cols>
    <col min="1" max="1" width="31.83203125" customWidth="1"/>
    <col min="2" max="2" width="10.1640625" customWidth="1"/>
    <col min="7" max="7" width="10" customWidth="1"/>
  </cols>
  <sheetData>
    <row r="3" spans="1:4" x14ac:dyDescent="0.2">
      <c r="A3" s="80"/>
      <c r="B3" s="81" t="s">
        <v>28</v>
      </c>
      <c r="C3" s="81"/>
      <c r="D3" s="82"/>
    </row>
    <row r="4" spans="1:4" x14ac:dyDescent="0.2">
      <c r="A4" s="83"/>
      <c r="D4" s="84"/>
    </row>
    <row r="5" spans="1:4" x14ac:dyDescent="0.2">
      <c r="A5" s="83"/>
      <c r="D5" s="84"/>
    </row>
    <row r="6" spans="1:4" x14ac:dyDescent="0.2">
      <c r="A6" s="111" t="s">
        <v>30</v>
      </c>
      <c r="B6" t="s">
        <v>29</v>
      </c>
      <c r="C6" t="s">
        <v>31</v>
      </c>
      <c r="D6" s="84" t="s">
        <v>32</v>
      </c>
    </row>
    <row r="7" spans="1:4" x14ac:dyDescent="0.2">
      <c r="A7" s="83">
        <f>'RND 1 STBL'!AD14</f>
        <v>1</v>
      </c>
      <c r="B7" t="str">
        <f>'RND 2 MP'!AE14</f>
        <v>FINDLAY</v>
      </c>
      <c r="C7">
        <f>'RND 2 MP'!AF14</f>
        <v>39</v>
      </c>
      <c r="D7" s="84">
        <f>'RND 2 MP'!AG14</f>
        <v>22.5</v>
      </c>
    </row>
    <row r="8" spans="1:4" x14ac:dyDescent="0.2">
      <c r="A8" s="83">
        <f>'RND 1 STBL'!AD15</f>
        <v>2</v>
      </c>
      <c r="B8" t="str">
        <f>'RND 2 MP'!AE15</f>
        <v>HOLLANDS</v>
      </c>
      <c r="C8">
        <f>'RND 2 MP'!AF15</f>
        <v>39</v>
      </c>
      <c r="D8" s="84">
        <f>'RND 2 MP'!AG15</f>
        <v>22.5</v>
      </c>
    </row>
    <row r="9" spans="1:4" x14ac:dyDescent="0.2">
      <c r="A9" s="83">
        <f>'RND 1 STBL'!AD16</f>
        <v>3</v>
      </c>
      <c r="B9" t="str">
        <f>'RND 2 MP'!AE16</f>
        <v>DONOVAN</v>
      </c>
      <c r="C9">
        <f>'RND 2 MP'!AF16</f>
        <v>32</v>
      </c>
      <c r="D9" s="84">
        <f>'RND 2 MP'!AG16</f>
        <v>18</v>
      </c>
    </row>
    <row r="10" spans="1:4" x14ac:dyDescent="0.2">
      <c r="A10" s="83">
        <f>'RND 1 STBL'!AD17</f>
        <v>4</v>
      </c>
      <c r="B10" t="str">
        <f>'RND 2 MP'!AE17</f>
        <v>LAING</v>
      </c>
      <c r="C10">
        <f>'RND 2 MP'!AF17</f>
        <v>21</v>
      </c>
      <c r="D10" s="84">
        <f>'RND 2 MP'!AG17</f>
        <v>15</v>
      </c>
    </row>
    <row r="11" spans="1:4" x14ac:dyDescent="0.2">
      <c r="A11" s="83">
        <f>'RND 1 STBL'!AD18</f>
        <v>5</v>
      </c>
      <c r="B11" t="str">
        <f>'RND 2 MP'!AE18</f>
        <v>REILLY</v>
      </c>
      <c r="C11">
        <f>'RND 2 MP'!AF18</f>
        <v>12</v>
      </c>
      <c r="D11" s="84">
        <f>'RND 2 MP'!AG18</f>
        <v>12</v>
      </c>
    </row>
    <row r="12" spans="1:4" x14ac:dyDescent="0.2">
      <c r="A12" s="83">
        <f>'RND 1 STBL'!AD19</f>
        <v>6</v>
      </c>
      <c r="B12" t="str">
        <f>'RND 2 MP'!AE19</f>
        <v>DEY</v>
      </c>
      <c r="C12">
        <f>'RND 2 MP'!AF19</f>
        <v>10</v>
      </c>
      <c r="D12" s="84">
        <f>'RND 2 MP'!AG19</f>
        <v>7.5</v>
      </c>
    </row>
    <row r="13" spans="1:4" x14ac:dyDescent="0.2">
      <c r="A13" s="83">
        <f>'RND 1 STBL'!AD20</f>
        <v>7</v>
      </c>
      <c r="B13" t="str">
        <f>'RND 2 MP'!AE20</f>
        <v>STONES</v>
      </c>
      <c r="C13">
        <f>'RND 2 MP'!AF20</f>
        <v>10</v>
      </c>
      <c r="D13" s="84">
        <f>'RND 2 MP'!AG20</f>
        <v>7.5</v>
      </c>
    </row>
    <row r="14" spans="1:4" x14ac:dyDescent="0.2">
      <c r="A14" s="83">
        <f>'RND 1 STBL'!AD21</f>
        <v>8</v>
      </c>
      <c r="B14" t="str">
        <f>'RND 2 MP'!AE21</f>
        <v>BELLIS</v>
      </c>
      <c r="C14">
        <f>'RND 2 MP'!AF21</f>
        <v>5</v>
      </c>
      <c r="D14" s="84">
        <f>'RND 2 MP'!AG21</f>
        <v>3</v>
      </c>
    </row>
    <row r="15" spans="1:4" x14ac:dyDescent="0.2">
      <c r="A15" s="85"/>
      <c r="B15" s="86"/>
      <c r="C15" s="86"/>
      <c r="D15" s="87"/>
    </row>
    <row r="21" spans="1:23" x14ac:dyDescent="0.2">
      <c r="A21" t="s">
        <v>11</v>
      </c>
    </row>
    <row r="22" spans="1:23" x14ac:dyDescent="0.2">
      <c r="A22" s="80" t="s">
        <v>1</v>
      </c>
      <c r="B22" s="77" t="s">
        <v>15</v>
      </c>
      <c r="D22" s="96" t="s">
        <v>25</v>
      </c>
      <c r="E22" s="92">
        <v>1</v>
      </c>
      <c r="F22" s="92">
        <v>2</v>
      </c>
      <c r="G22" s="92">
        <v>3</v>
      </c>
      <c r="H22" s="92">
        <v>4</v>
      </c>
      <c r="I22" s="92">
        <v>5</v>
      </c>
      <c r="J22" s="92">
        <v>6</v>
      </c>
      <c r="K22" s="92">
        <v>7</v>
      </c>
      <c r="L22" s="92">
        <v>8</v>
      </c>
      <c r="M22" s="92">
        <v>9</v>
      </c>
      <c r="N22" s="92">
        <v>10</v>
      </c>
      <c r="O22" s="92">
        <v>11</v>
      </c>
      <c r="P22" s="92">
        <v>12</v>
      </c>
      <c r="Q22" s="92">
        <v>13</v>
      </c>
      <c r="R22" s="92">
        <v>14</v>
      </c>
      <c r="S22" s="92">
        <v>15</v>
      </c>
      <c r="T22" s="92">
        <v>16</v>
      </c>
      <c r="U22" s="92">
        <v>17</v>
      </c>
      <c r="V22" s="92">
        <v>18</v>
      </c>
      <c r="W22" s="88" t="s">
        <v>2</v>
      </c>
    </row>
    <row r="23" spans="1:23" ht="19" x14ac:dyDescent="0.25">
      <c r="A23" s="83"/>
      <c r="B23" s="78"/>
      <c r="D23" s="94" t="s">
        <v>23</v>
      </c>
      <c r="E23" s="93">
        <f>'RND 2 MP'!C5</f>
        <v>4</v>
      </c>
      <c r="F23" s="93">
        <f>'RND 2 MP'!D5</f>
        <v>3</v>
      </c>
      <c r="G23" s="93">
        <f>'RND 2 MP'!E5</f>
        <v>4</v>
      </c>
      <c r="H23" s="93">
        <f>'RND 2 MP'!F5</f>
        <v>4</v>
      </c>
      <c r="I23" s="93">
        <f>'RND 2 MP'!G5</f>
        <v>4</v>
      </c>
      <c r="J23" s="93">
        <f>'RND 2 MP'!H5</f>
        <v>5</v>
      </c>
      <c r="K23" s="93">
        <f>'RND 2 MP'!I5</f>
        <v>3</v>
      </c>
      <c r="L23" s="93">
        <f>'RND 2 MP'!J5</f>
        <v>4</v>
      </c>
      <c r="M23" s="93">
        <f>'RND 2 MP'!K5</f>
        <v>5</v>
      </c>
      <c r="N23" s="93">
        <f>'RND 2 MP'!L5</f>
        <v>4</v>
      </c>
      <c r="O23" s="93">
        <f>'RND 2 MP'!M5</f>
        <v>5</v>
      </c>
      <c r="P23" s="93">
        <f>'RND 2 MP'!N5</f>
        <v>4</v>
      </c>
      <c r="Q23" s="93">
        <f>'RND 2 MP'!O5</f>
        <v>4</v>
      </c>
      <c r="R23" s="93">
        <f>'RND 2 MP'!P5</f>
        <v>3</v>
      </c>
      <c r="S23" s="93">
        <f>'RND 2 MP'!Q5</f>
        <v>5</v>
      </c>
      <c r="T23" s="93">
        <f>'RND 2 MP'!R5</f>
        <v>4</v>
      </c>
      <c r="U23" s="93">
        <f>'RND 2 MP'!S5</f>
        <v>3</v>
      </c>
      <c r="V23" s="93">
        <f>'RND 2 MP'!T5</f>
        <v>4</v>
      </c>
      <c r="W23" s="88"/>
    </row>
    <row r="24" spans="1:23" x14ac:dyDescent="0.2">
      <c r="A24" s="83"/>
      <c r="B24" s="78"/>
      <c r="D24" s="94" t="s">
        <v>24</v>
      </c>
      <c r="E24" s="95">
        <f>'RND 2 MP'!C6</f>
        <v>16</v>
      </c>
      <c r="F24" s="95">
        <f>'RND 2 MP'!D6</f>
        <v>8</v>
      </c>
      <c r="G24" s="95">
        <f>'RND 2 MP'!E6</f>
        <v>2</v>
      </c>
      <c r="H24" s="95">
        <f>'RND 2 MP'!F6</f>
        <v>18</v>
      </c>
      <c r="I24" s="95">
        <f>'RND 2 MP'!G6</f>
        <v>4</v>
      </c>
      <c r="J24" s="95">
        <f>'RND 2 MP'!H6</f>
        <v>12</v>
      </c>
      <c r="K24" s="95">
        <f>'RND 2 MP'!I6</f>
        <v>6</v>
      </c>
      <c r="L24" s="95">
        <f>'RND 2 MP'!J6</f>
        <v>10</v>
      </c>
      <c r="M24" s="95">
        <f>'RND 2 MP'!K6</f>
        <v>14</v>
      </c>
      <c r="N24" s="95">
        <f>'RND 2 MP'!L6</f>
        <v>11</v>
      </c>
      <c r="O24" s="95">
        <f>'RND 2 MP'!M6</f>
        <v>1</v>
      </c>
      <c r="P24" s="95">
        <f>'RND 2 MP'!N6</f>
        <v>5</v>
      </c>
      <c r="Q24" s="95">
        <f>'RND 2 MP'!O6</f>
        <v>15</v>
      </c>
      <c r="R24" s="95">
        <f>'RND 2 MP'!P6</f>
        <v>13</v>
      </c>
      <c r="S24" s="95">
        <f>'RND 2 MP'!Q6</f>
        <v>7</v>
      </c>
      <c r="T24" s="95">
        <f>'RND 2 MP'!R6</f>
        <v>17</v>
      </c>
      <c r="U24" s="95">
        <f>'RND 2 MP'!S6</f>
        <v>3</v>
      </c>
      <c r="V24" s="95">
        <f>'RND 2 MP'!T6</f>
        <v>9</v>
      </c>
      <c r="W24" s="88"/>
    </row>
    <row r="25" spans="1:23" x14ac:dyDescent="0.2">
      <c r="B25" s="78"/>
      <c r="D25" s="8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89"/>
    </row>
    <row r="26" spans="1:23" x14ac:dyDescent="0.2">
      <c r="A26" s="83" t="str">
        <f>'RND 1 STBL'!A7</f>
        <v>BELLIS</v>
      </c>
      <c r="B26" s="78">
        <f>'RND 2 MP'!B7</f>
        <v>18</v>
      </c>
      <c r="D26" s="83"/>
      <c r="E26" s="1">
        <f>'RND 2 MP'!C7</f>
        <v>8</v>
      </c>
      <c r="F26" s="1">
        <f>'RND 2 MP'!D7</f>
        <v>2</v>
      </c>
      <c r="G26" s="1">
        <f>'RND 2 MP'!E7</f>
        <v>8</v>
      </c>
      <c r="H26" s="1">
        <f>'RND 2 MP'!F7</f>
        <v>8</v>
      </c>
      <c r="I26" s="1">
        <f>'RND 2 MP'!G7</f>
        <v>8</v>
      </c>
      <c r="J26" s="1">
        <f>'RND 2 MP'!H7</f>
        <v>8</v>
      </c>
      <c r="K26" s="1">
        <f>'RND 2 MP'!I7</f>
        <v>8</v>
      </c>
      <c r="L26" s="1">
        <f>'RND 2 MP'!J7</f>
        <v>8</v>
      </c>
      <c r="M26" s="1">
        <f>'RND 2 MP'!K7</f>
        <v>2</v>
      </c>
      <c r="N26" s="1">
        <f>'RND 2 MP'!L7</f>
        <v>8</v>
      </c>
      <c r="O26" s="1">
        <f>'RND 2 MP'!M7</f>
        <v>8</v>
      </c>
      <c r="P26" s="1">
        <f>'RND 2 MP'!N7</f>
        <v>8</v>
      </c>
      <c r="Q26" s="1">
        <f>'RND 2 MP'!O7</f>
        <v>8</v>
      </c>
      <c r="R26" s="1">
        <f>'RND 2 MP'!P7</f>
        <v>8</v>
      </c>
      <c r="S26" s="1">
        <f>'RND 2 MP'!Q7</f>
        <v>8</v>
      </c>
      <c r="T26" s="1">
        <f>'RND 2 MP'!R7</f>
        <v>8</v>
      </c>
      <c r="U26" s="1">
        <f>'RND 2 MP'!S7</f>
        <v>8</v>
      </c>
      <c r="V26" s="1">
        <f>'RND 2 MP'!T7</f>
        <v>9</v>
      </c>
      <c r="W26" s="89">
        <f>'RND 2 MP'!U7</f>
        <v>133</v>
      </c>
    </row>
    <row r="27" spans="1:23" x14ac:dyDescent="0.2">
      <c r="A27" s="83" t="str">
        <f>'RND 1 STBL'!A8</f>
        <v>DEY</v>
      </c>
      <c r="B27" s="78">
        <f>'RND 2 MP'!B8</f>
        <v>18</v>
      </c>
      <c r="D27" s="83"/>
      <c r="E27" s="1">
        <f>'RND 2 MP'!C8</f>
        <v>7</v>
      </c>
      <c r="F27" s="1">
        <f>'RND 2 MP'!D8</f>
        <v>7</v>
      </c>
      <c r="G27" s="1">
        <f>'RND 2 MP'!E8</f>
        <v>7</v>
      </c>
      <c r="H27" s="1">
        <f>'RND 2 MP'!F8</f>
        <v>7</v>
      </c>
      <c r="I27" s="1">
        <f>'RND 2 MP'!G8</f>
        <v>7</v>
      </c>
      <c r="J27" s="1">
        <f>'RND 2 MP'!H8</f>
        <v>1</v>
      </c>
      <c r="K27" s="1">
        <f>'RND 2 MP'!I8</f>
        <v>1</v>
      </c>
      <c r="L27" s="1">
        <f>'RND 2 MP'!J8</f>
        <v>1</v>
      </c>
      <c r="M27" s="1">
        <f>'RND 2 MP'!K8</f>
        <v>9</v>
      </c>
      <c r="N27" s="1">
        <f>'RND 2 MP'!L8</f>
        <v>9</v>
      </c>
      <c r="O27" s="1">
        <f>'RND 2 MP'!M8</f>
        <v>9</v>
      </c>
      <c r="P27" s="1">
        <f>'RND 2 MP'!N8</f>
        <v>9</v>
      </c>
      <c r="Q27" s="1">
        <f>'RND 2 MP'!O8</f>
        <v>9</v>
      </c>
      <c r="R27" s="1">
        <f>'RND 2 MP'!P8</f>
        <v>9</v>
      </c>
      <c r="S27" s="1">
        <f>'RND 2 MP'!Q8</f>
        <v>9</v>
      </c>
      <c r="T27" s="1">
        <f>'RND 2 MP'!R8</f>
        <v>9</v>
      </c>
      <c r="U27" s="1">
        <f>'RND 2 MP'!S8</f>
        <v>9</v>
      </c>
      <c r="V27" s="1">
        <f>'RND 2 MP'!T8</f>
        <v>9</v>
      </c>
      <c r="W27" s="89">
        <f>'RND 2 MP'!U8</f>
        <v>128</v>
      </c>
    </row>
    <row r="28" spans="1:23" x14ac:dyDescent="0.2">
      <c r="A28" s="83" t="str">
        <f>'RND 1 STBL'!A9</f>
        <v>DONOVAN</v>
      </c>
      <c r="B28" s="78">
        <f>'RND 2 MP'!B9</f>
        <v>18</v>
      </c>
      <c r="D28" s="83"/>
      <c r="E28" s="1">
        <f>'RND 2 MP'!C9</f>
        <v>4</v>
      </c>
      <c r="F28" s="1">
        <f>'RND 2 MP'!D9</f>
        <v>9</v>
      </c>
      <c r="G28" s="1">
        <f>'RND 2 MP'!E9</f>
        <v>3</v>
      </c>
      <c r="H28" s="1">
        <f>'RND 2 MP'!F9</f>
        <v>2</v>
      </c>
      <c r="I28" s="1">
        <f>'RND 2 MP'!G9</f>
        <v>4</v>
      </c>
      <c r="J28" s="1">
        <f>'RND 2 MP'!H9</f>
        <v>4</v>
      </c>
      <c r="K28" s="1">
        <f>'RND 2 MP'!I9</f>
        <v>4</v>
      </c>
      <c r="L28" s="1">
        <f>'RND 2 MP'!J9</f>
        <v>4</v>
      </c>
      <c r="M28" s="1">
        <f>'RND 2 MP'!K9</f>
        <v>4</v>
      </c>
      <c r="N28" s="1">
        <f>'RND 2 MP'!L9</f>
        <v>4</v>
      </c>
      <c r="O28" s="1">
        <f>'RND 2 MP'!M9</f>
        <v>4</v>
      </c>
      <c r="P28" s="1">
        <f>'RND 2 MP'!N9</f>
        <v>4</v>
      </c>
      <c r="Q28" s="1">
        <f>'RND 2 MP'!O9</f>
        <v>4</v>
      </c>
      <c r="R28" s="1">
        <f>'RND 2 MP'!P9</f>
        <v>4</v>
      </c>
      <c r="S28" s="1">
        <f>'RND 2 MP'!Q9</f>
        <v>4</v>
      </c>
      <c r="T28" s="1">
        <f>'RND 2 MP'!R9</f>
        <v>4</v>
      </c>
      <c r="U28" s="1">
        <f>'RND 2 MP'!S9</f>
        <v>4</v>
      </c>
      <c r="V28" s="1">
        <f>'RND 2 MP'!T9</f>
        <v>8</v>
      </c>
      <c r="W28" s="89">
        <f>'RND 2 MP'!U9</f>
        <v>78</v>
      </c>
    </row>
    <row r="29" spans="1:23" x14ac:dyDescent="0.2">
      <c r="A29" s="83" t="str">
        <f>'RND 1 STBL'!A10</f>
        <v>FINDLAY</v>
      </c>
      <c r="B29" s="78">
        <f>'RND 2 MP'!B10</f>
        <v>18</v>
      </c>
      <c r="D29" s="83"/>
      <c r="E29" s="1">
        <f>'RND 2 MP'!C10</f>
        <v>2</v>
      </c>
      <c r="F29" s="1">
        <f>'RND 2 MP'!D10</f>
        <v>3</v>
      </c>
      <c r="G29" s="1">
        <f>'RND 2 MP'!E10</f>
        <v>6</v>
      </c>
      <c r="H29" s="1">
        <f>'RND 2 MP'!F10</f>
        <v>3</v>
      </c>
      <c r="I29" s="1">
        <f>'RND 2 MP'!G10</f>
        <v>2</v>
      </c>
      <c r="J29" s="1">
        <f>'RND 2 MP'!H10</f>
        <v>2</v>
      </c>
      <c r="K29" s="1">
        <f>'RND 2 MP'!I10</f>
        <v>2</v>
      </c>
      <c r="L29" s="1">
        <f>'RND 2 MP'!J10</f>
        <v>1</v>
      </c>
      <c r="M29" s="1">
        <f>'RND 2 MP'!K10</f>
        <v>4</v>
      </c>
      <c r="N29" s="1">
        <f>'RND 2 MP'!L10</f>
        <v>2</v>
      </c>
      <c r="O29" s="1">
        <f>'RND 2 MP'!M10</f>
        <v>2</v>
      </c>
      <c r="P29" s="1">
        <f>'RND 2 MP'!N10</f>
        <v>2</v>
      </c>
      <c r="Q29" s="1">
        <f>'RND 2 MP'!O10</f>
        <v>2</v>
      </c>
      <c r="R29" s="1">
        <f>'RND 2 MP'!P10</f>
        <v>2</v>
      </c>
      <c r="S29" s="1">
        <f>'RND 2 MP'!Q10</f>
        <v>6</v>
      </c>
      <c r="T29" s="1">
        <f>'RND 2 MP'!R10</f>
        <v>6</v>
      </c>
      <c r="U29" s="1">
        <f>'RND 2 MP'!S10</f>
        <v>6</v>
      </c>
      <c r="V29" s="1">
        <f>'RND 2 MP'!T10</f>
        <v>7</v>
      </c>
      <c r="W29" s="89">
        <f>'RND 2 MP'!U10</f>
        <v>60</v>
      </c>
    </row>
    <row r="30" spans="1:23" x14ac:dyDescent="0.2">
      <c r="A30" s="83" t="str">
        <f>'RND 1 STBL'!A11</f>
        <v>HOLLANDS</v>
      </c>
      <c r="B30" s="78">
        <f>'RND 2 MP'!B11</f>
        <v>18</v>
      </c>
      <c r="D30" s="83"/>
      <c r="E30" s="1">
        <f>'RND 2 MP'!C11</f>
        <v>2</v>
      </c>
      <c r="F30" s="1">
        <f>'RND 2 MP'!D11</f>
        <v>3</v>
      </c>
      <c r="G30" s="1">
        <f>'RND 2 MP'!E11</f>
        <v>6</v>
      </c>
      <c r="H30" s="1">
        <f>'RND 2 MP'!F11</f>
        <v>3</v>
      </c>
      <c r="I30" s="1">
        <f>'RND 2 MP'!G11</f>
        <v>2</v>
      </c>
      <c r="J30" s="1">
        <f>'RND 2 MP'!H11</f>
        <v>2</v>
      </c>
      <c r="K30" s="1">
        <f>'RND 2 MP'!I11</f>
        <v>2</v>
      </c>
      <c r="L30" s="1">
        <f>'RND 2 MP'!J11</f>
        <v>1</v>
      </c>
      <c r="M30" s="1">
        <f>'RND 2 MP'!K11</f>
        <v>4</v>
      </c>
      <c r="N30" s="1">
        <f>'RND 2 MP'!L11</f>
        <v>2</v>
      </c>
      <c r="O30" s="1">
        <f>'RND 2 MP'!M11</f>
        <v>2</v>
      </c>
      <c r="P30" s="1">
        <f>'RND 2 MP'!N11</f>
        <v>2</v>
      </c>
      <c r="Q30" s="1">
        <f>'RND 2 MP'!O11</f>
        <v>2</v>
      </c>
      <c r="R30" s="1">
        <f>'RND 2 MP'!P11</f>
        <v>2</v>
      </c>
      <c r="S30" s="1">
        <f>'RND 2 MP'!Q11</f>
        <v>6</v>
      </c>
      <c r="T30" s="1">
        <f>'RND 2 MP'!R11</f>
        <v>6</v>
      </c>
      <c r="U30" s="1">
        <f>'RND 2 MP'!S11</f>
        <v>6</v>
      </c>
      <c r="V30" s="1">
        <f>'RND 2 MP'!T11</f>
        <v>7</v>
      </c>
      <c r="W30" s="89">
        <f>'RND 2 MP'!U11</f>
        <v>60</v>
      </c>
    </row>
    <row r="31" spans="1:23" x14ac:dyDescent="0.2">
      <c r="A31" s="83" t="str">
        <f>'RND 1 STBL'!A12</f>
        <v>LAING</v>
      </c>
      <c r="B31" s="78">
        <f>'RND 2 MP'!B12</f>
        <v>18</v>
      </c>
      <c r="D31" s="83"/>
      <c r="E31" s="1">
        <f>'RND 2 MP'!C12</f>
        <v>7</v>
      </c>
      <c r="F31" s="1">
        <f>'RND 2 MP'!D12</f>
        <v>6</v>
      </c>
      <c r="G31" s="1">
        <f>'RND 2 MP'!E12</f>
        <v>4</v>
      </c>
      <c r="H31" s="1">
        <f>'RND 2 MP'!F12</f>
        <v>4</v>
      </c>
      <c r="I31" s="1">
        <f>'RND 2 MP'!G12</f>
        <v>3</v>
      </c>
      <c r="J31" s="1">
        <f>'RND 2 MP'!H12</f>
        <v>4</v>
      </c>
      <c r="K31" s="1">
        <f>'RND 2 MP'!I12</f>
        <v>7</v>
      </c>
      <c r="L31" s="1">
        <f>'RND 2 MP'!J12</f>
        <v>2</v>
      </c>
      <c r="M31" s="1">
        <f>'RND 2 MP'!K12</f>
        <v>4</v>
      </c>
      <c r="N31" s="1">
        <f>'RND 2 MP'!L12</f>
        <v>5</v>
      </c>
      <c r="O31" s="1">
        <f>'RND 2 MP'!M12</f>
        <v>5</v>
      </c>
      <c r="P31" s="1">
        <f>'RND 2 MP'!N12</f>
        <v>5</v>
      </c>
      <c r="Q31" s="1">
        <f>'RND 2 MP'!O12</f>
        <v>5</v>
      </c>
      <c r="R31" s="1">
        <f>'RND 2 MP'!P12</f>
        <v>5</v>
      </c>
      <c r="S31" s="1">
        <f>'RND 2 MP'!Q12</f>
        <v>5</v>
      </c>
      <c r="T31" s="1">
        <f>'RND 2 MP'!R12</f>
        <v>6</v>
      </c>
      <c r="U31" s="1">
        <f>'RND 2 MP'!S12</f>
        <v>7</v>
      </c>
      <c r="V31" s="1">
        <f>'RND 2 MP'!T12</f>
        <v>6</v>
      </c>
      <c r="W31" s="89">
        <f>'RND 2 MP'!U12</f>
        <v>90</v>
      </c>
    </row>
    <row r="32" spans="1:23" x14ac:dyDescent="0.2">
      <c r="A32" s="83" t="str">
        <f>'RND 1 STBL'!A13</f>
        <v>REILLY</v>
      </c>
      <c r="B32" s="78">
        <f>'RND 2 MP'!B13</f>
        <v>18</v>
      </c>
      <c r="D32" s="83"/>
      <c r="E32" s="1">
        <f>'RND 2 MP'!C13</f>
        <v>7</v>
      </c>
      <c r="F32" s="1">
        <f>'RND 2 MP'!D13</f>
        <v>5</v>
      </c>
      <c r="G32" s="1">
        <f>'RND 2 MP'!E13</f>
        <v>7</v>
      </c>
      <c r="H32" s="1">
        <f>'RND 2 MP'!F13</f>
        <v>7</v>
      </c>
      <c r="I32" s="1">
        <f>'RND 2 MP'!G13</f>
        <v>7</v>
      </c>
      <c r="J32" s="1">
        <f>'RND 2 MP'!H13</f>
        <v>1</v>
      </c>
      <c r="K32" s="1">
        <f>'RND 2 MP'!I13</f>
        <v>1</v>
      </c>
      <c r="L32" s="1">
        <f>'RND 2 MP'!J13</f>
        <v>7</v>
      </c>
      <c r="M32" s="1">
        <f>'RND 2 MP'!K13</f>
        <v>7</v>
      </c>
      <c r="N32" s="1">
        <f>'RND 2 MP'!L13</f>
        <v>7</v>
      </c>
      <c r="O32" s="1">
        <f>'RND 2 MP'!M13</f>
        <v>7</v>
      </c>
      <c r="P32" s="1">
        <f>'RND 2 MP'!N13</f>
        <v>7</v>
      </c>
      <c r="Q32" s="1">
        <f>'RND 2 MP'!O13</f>
        <v>7</v>
      </c>
      <c r="R32" s="1">
        <f>'RND 2 MP'!P13</f>
        <v>7</v>
      </c>
      <c r="S32" s="1">
        <f>'RND 2 MP'!Q13</f>
        <v>7</v>
      </c>
      <c r="T32" s="1">
        <f>'RND 2 MP'!R13</f>
        <v>6</v>
      </c>
      <c r="U32" s="1">
        <f>'RND 2 MP'!S13</f>
        <v>7</v>
      </c>
      <c r="V32" s="1">
        <f>'RND 2 MP'!T13</f>
        <v>5</v>
      </c>
      <c r="W32" s="89">
        <f>'RND 2 MP'!U13</f>
        <v>109</v>
      </c>
    </row>
    <row r="33" spans="1:23" x14ac:dyDescent="0.2">
      <c r="A33" s="85" t="str">
        <f>'RND 1 STBL'!A14</f>
        <v>STONES</v>
      </c>
      <c r="B33" s="79">
        <f>'RND 2 MP'!B14</f>
        <v>18</v>
      </c>
      <c r="D33" s="85"/>
      <c r="E33" s="90">
        <f>'RND 2 MP'!C14</f>
        <v>7</v>
      </c>
      <c r="F33" s="90">
        <f>'RND 2 MP'!D14</f>
        <v>4</v>
      </c>
      <c r="G33" s="90">
        <f>'RND 2 MP'!E14</f>
        <v>7</v>
      </c>
      <c r="H33" s="90">
        <f>'RND 2 MP'!F14</f>
        <v>7</v>
      </c>
      <c r="I33" s="90">
        <f>'RND 2 MP'!G14</f>
        <v>7</v>
      </c>
      <c r="J33" s="90">
        <f>'RND 2 MP'!H14</f>
        <v>7</v>
      </c>
      <c r="K33" s="90">
        <f>'RND 2 MP'!I14</f>
        <v>7</v>
      </c>
      <c r="L33" s="90">
        <f>'RND 2 MP'!J14</f>
        <v>7</v>
      </c>
      <c r="M33" s="90">
        <f>'RND 2 MP'!K14</f>
        <v>1</v>
      </c>
      <c r="N33" s="90">
        <f>'RND 2 MP'!L14</f>
        <v>7</v>
      </c>
      <c r="O33" s="90">
        <f>'RND 2 MP'!M14</f>
        <v>7</v>
      </c>
      <c r="P33" s="90">
        <f>'RND 2 MP'!N14</f>
        <v>7</v>
      </c>
      <c r="Q33" s="90">
        <f>'RND 2 MP'!O14</f>
        <v>7</v>
      </c>
      <c r="R33" s="90">
        <f>'RND 2 MP'!P14</f>
        <v>7</v>
      </c>
      <c r="S33" s="90">
        <f>'RND 2 MP'!Q14</f>
        <v>7</v>
      </c>
      <c r="T33" s="90">
        <f>'RND 2 MP'!R14</f>
        <v>7</v>
      </c>
      <c r="U33" s="90">
        <f>'RND 2 MP'!S14</f>
        <v>7</v>
      </c>
      <c r="V33" s="90">
        <f>'RND 2 MP'!T14</f>
        <v>4</v>
      </c>
      <c r="W33" s="91">
        <f>'RND 2 MP'!U14</f>
        <v>114</v>
      </c>
    </row>
    <row r="37" spans="1:23" x14ac:dyDescent="0.2">
      <c r="A37" t="s">
        <v>72</v>
      </c>
    </row>
    <row r="38" spans="1:23" x14ac:dyDescent="0.2">
      <c r="A38" s="80" t="s">
        <v>1</v>
      </c>
      <c r="B38" s="77" t="s">
        <v>15</v>
      </c>
      <c r="D38" s="96" t="s">
        <v>25</v>
      </c>
      <c r="E38" s="92">
        <v>1</v>
      </c>
      <c r="F38" s="92">
        <v>2</v>
      </c>
      <c r="G38" s="92">
        <v>3</v>
      </c>
      <c r="H38" s="92">
        <v>4</v>
      </c>
      <c r="I38" s="92">
        <v>5</v>
      </c>
      <c r="J38" s="92">
        <v>6</v>
      </c>
      <c r="K38" s="92">
        <v>7</v>
      </c>
      <c r="L38" s="92">
        <v>8</v>
      </c>
      <c r="M38" s="92">
        <v>9</v>
      </c>
      <c r="N38" s="92">
        <v>10</v>
      </c>
      <c r="O38" s="92">
        <v>11</v>
      </c>
      <c r="P38" s="92">
        <v>12</v>
      </c>
      <c r="Q38" s="92">
        <v>13</v>
      </c>
      <c r="R38" s="92">
        <v>14</v>
      </c>
      <c r="S38" s="92">
        <v>15</v>
      </c>
      <c r="T38" s="92">
        <v>16</v>
      </c>
      <c r="U38" s="92">
        <v>17</v>
      </c>
      <c r="V38" s="92">
        <v>18</v>
      </c>
      <c r="W38" s="88" t="s">
        <v>2</v>
      </c>
    </row>
    <row r="39" spans="1:23" ht="19" x14ac:dyDescent="0.25">
      <c r="A39" s="83"/>
      <c r="B39" s="78"/>
      <c r="D39" s="94" t="s">
        <v>23</v>
      </c>
      <c r="E39" s="93">
        <f>E23</f>
        <v>4</v>
      </c>
      <c r="F39" s="93">
        <f t="shared" ref="F39:V39" si="0">F23</f>
        <v>3</v>
      </c>
      <c r="G39" s="93">
        <f t="shared" si="0"/>
        <v>4</v>
      </c>
      <c r="H39" s="93">
        <f t="shared" si="0"/>
        <v>4</v>
      </c>
      <c r="I39" s="93">
        <f t="shared" si="0"/>
        <v>4</v>
      </c>
      <c r="J39" s="93">
        <f t="shared" si="0"/>
        <v>5</v>
      </c>
      <c r="K39" s="93">
        <f t="shared" si="0"/>
        <v>3</v>
      </c>
      <c r="L39" s="93">
        <f t="shared" si="0"/>
        <v>4</v>
      </c>
      <c r="M39" s="93">
        <f t="shared" si="0"/>
        <v>5</v>
      </c>
      <c r="N39" s="93">
        <f t="shared" si="0"/>
        <v>4</v>
      </c>
      <c r="O39" s="93">
        <f t="shared" si="0"/>
        <v>5</v>
      </c>
      <c r="P39" s="93">
        <f t="shared" si="0"/>
        <v>4</v>
      </c>
      <c r="Q39" s="93">
        <f t="shared" si="0"/>
        <v>4</v>
      </c>
      <c r="R39" s="93">
        <f t="shared" si="0"/>
        <v>3</v>
      </c>
      <c r="S39" s="93">
        <f t="shared" si="0"/>
        <v>5</v>
      </c>
      <c r="T39" s="93">
        <f t="shared" si="0"/>
        <v>4</v>
      </c>
      <c r="U39" s="93">
        <f t="shared" si="0"/>
        <v>3</v>
      </c>
      <c r="V39" s="93">
        <f t="shared" si="0"/>
        <v>4</v>
      </c>
      <c r="W39" s="88"/>
    </row>
    <row r="40" spans="1:23" x14ac:dyDescent="0.2">
      <c r="A40" s="83"/>
      <c r="B40" s="78"/>
      <c r="D40" s="94" t="s">
        <v>24</v>
      </c>
      <c r="E40" s="95">
        <f>E24</f>
        <v>16</v>
      </c>
      <c r="F40" s="95">
        <f t="shared" ref="F40:V40" si="1">F24</f>
        <v>8</v>
      </c>
      <c r="G40" s="95">
        <f t="shared" si="1"/>
        <v>2</v>
      </c>
      <c r="H40" s="95">
        <f t="shared" si="1"/>
        <v>18</v>
      </c>
      <c r="I40" s="95">
        <f t="shared" si="1"/>
        <v>4</v>
      </c>
      <c r="J40" s="95">
        <f t="shared" si="1"/>
        <v>12</v>
      </c>
      <c r="K40" s="95">
        <f t="shared" si="1"/>
        <v>6</v>
      </c>
      <c r="L40" s="95">
        <f t="shared" si="1"/>
        <v>10</v>
      </c>
      <c r="M40" s="95">
        <f t="shared" si="1"/>
        <v>14</v>
      </c>
      <c r="N40" s="95">
        <f t="shared" si="1"/>
        <v>11</v>
      </c>
      <c r="O40" s="95">
        <f t="shared" si="1"/>
        <v>1</v>
      </c>
      <c r="P40" s="95">
        <f t="shared" si="1"/>
        <v>5</v>
      </c>
      <c r="Q40" s="95">
        <f t="shared" si="1"/>
        <v>15</v>
      </c>
      <c r="R40" s="95">
        <f t="shared" si="1"/>
        <v>13</v>
      </c>
      <c r="S40" s="95">
        <f t="shared" si="1"/>
        <v>7</v>
      </c>
      <c r="T40" s="95">
        <f t="shared" si="1"/>
        <v>17</v>
      </c>
      <c r="U40" s="95">
        <f t="shared" si="1"/>
        <v>3</v>
      </c>
      <c r="V40" s="95">
        <f t="shared" si="1"/>
        <v>9</v>
      </c>
      <c r="W40" s="88"/>
    </row>
    <row r="41" spans="1:23" x14ac:dyDescent="0.2">
      <c r="B41" s="78"/>
      <c r="D41" s="8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89"/>
    </row>
    <row r="42" spans="1:23" x14ac:dyDescent="0.2">
      <c r="A42" s="83" t="str">
        <f>A26</f>
        <v>BELLIS</v>
      </c>
      <c r="B42" s="78">
        <f>B26</f>
        <v>18</v>
      </c>
      <c r="D42" s="83"/>
      <c r="E42" s="1">
        <f>'RND 2 MP'!C31</f>
        <v>7</v>
      </c>
      <c r="F42" s="1">
        <f>'RND 2 MP'!D31</f>
        <v>1</v>
      </c>
      <c r="G42" s="1">
        <f>'RND 2 MP'!E31</f>
        <v>7</v>
      </c>
      <c r="H42" s="1">
        <f>'RND 2 MP'!F31</f>
        <v>7</v>
      </c>
      <c r="I42" s="1">
        <f>'RND 2 MP'!G31</f>
        <v>7</v>
      </c>
      <c r="J42" s="1">
        <f>'RND 2 MP'!H31</f>
        <v>7</v>
      </c>
      <c r="K42" s="1">
        <f>'RND 2 MP'!I31</f>
        <v>7</v>
      </c>
      <c r="L42" s="1">
        <f>'RND 2 MP'!J31</f>
        <v>7</v>
      </c>
      <c r="M42" s="1">
        <f>'RND 2 MP'!K31</f>
        <v>1</v>
      </c>
      <c r="N42" s="1">
        <f>'RND 2 MP'!L31</f>
        <v>7</v>
      </c>
      <c r="O42" s="1">
        <f>'RND 2 MP'!M31</f>
        <v>7</v>
      </c>
      <c r="P42" s="1">
        <f>'RND 2 MP'!N31</f>
        <v>7</v>
      </c>
      <c r="Q42" s="1">
        <f>'RND 2 MP'!O31</f>
        <v>7</v>
      </c>
      <c r="R42" s="1">
        <f>'RND 2 MP'!P31</f>
        <v>7</v>
      </c>
      <c r="S42" s="1">
        <f>'RND 2 MP'!Q31</f>
        <v>7</v>
      </c>
      <c r="T42" s="1">
        <f>'RND 2 MP'!R31</f>
        <v>7</v>
      </c>
      <c r="U42" s="1">
        <f>'RND 2 MP'!S31</f>
        <v>7</v>
      </c>
      <c r="V42" s="1">
        <f>'RND 2 MP'!T31</f>
        <v>8</v>
      </c>
      <c r="W42" s="89">
        <f>'RND 2 MP'!U31</f>
        <v>115</v>
      </c>
    </row>
    <row r="43" spans="1:23" x14ac:dyDescent="0.2">
      <c r="A43" s="83" t="str">
        <f t="shared" ref="A43:B49" si="2">A27</f>
        <v>DEY</v>
      </c>
      <c r="B43" s="78">
        <f t="shared" si="2"/>
        <v>18</v>
      </c>
      <c r="D43" s="83"/>
      <c r="E43" s="1">
        <f>'RND 2 MP'!C32</f>
        <v>6</v>
      </c>
      <c r="F43" s="1">
        <f>'RND 2 MP'!D32</f>
        <v>6</v>
      </c>
      <c r="G43" s="1">
        <f>'RND 2 MP'!E32</f>
        <v>6</v>
      </c>
      <c r="H43" s="1">
        <f>'RND 2 MP'!F32</f>
        <v>6</v>
      </c>
      <c r="I43" s="1">
        <f>'RND 2 MP'!G32</f>
        <v>6</v>
      </c>
      <c r="J43" s="1">
        <f>'RND 2 MP'!H32</f>
        <v>0</v>
      </c>
      <c r="K43" s="1">
        <f>'RND 2 MP'!I32</f>
        <v>0</v>
      </c>
      <c r="L43" s="1">
        <f>'RND 2 MP'!J32</f>
        <v>0</v>
      </c>
      <c r="M43" s="1">
        <f>'RND 2 MP'!K32</f>
        <v>8</v>
      </c>
      <c r="N43" s="1">
        <f>'RND 2 MP'!L32</f>
        <v>8</v>
      </c>
      <c r="O43" s="1">
        <f>'RND 2 MP'!M32</f>
        <v>8</v>
      </c>
      <c r="P43" s="1">
        <f>'RND 2 MP'!N32</f>
        <v>8</v>
      </c>
      <c r="Q43" s="1">
        <f>'RND 2 MP'!O32</f>
        <v>8</v>
      </c>
      <c r="R43" s="1">
        <f>'RND 2 MP'!P32</f>
        <v>8</v>
      </c>
      <c r="S43" s="1">
        <f>'RND 2 MP'!Q32</f>
        <v>8</v>
      </c>
      <c r="T43" s="1">
        <f>'RND 2 MP'!R32</f>
        <v>8</v>
      </c>
      <c r="U43" s="1">
        <f>'RND 2 MP'!S32</f>
        <v>8</v>
      </c>
      <c r="V43" s="1">
        <f>'RND 2 MP'!T32</f>
        <v>8</v>
      </c>
      <c r="W43" s="89">
        <f>'RND 2 MP'!U32</f>
        <v>110</v>
      </c>
    </row>
    <row r="44" spans="1:23" x14ac:dyDescent="0.2">
      <c r="A44" s="83" t="str">
        <f t="shared" si="2"/>
        <v>DONOVAN</v>
      </c>
      <c r="B44" s="78">
        <f t="shared" si="2"/>
        <v>18</v>
      </c>
      <c r="D44" s="83"/>
      <c r="E44" s="1">
        <f>'RND 2 MP'!C33</f>
        <v>3</v>
      </c>
      <c r="F44" s="1">
        <f>'RND 2 MP'!D33</f>
        <v>8</v>
      </c>
      <c r="G44" s="1">
        <f>'RND 2 MP'!E33</f>
        <v>2</v>
      </c>
      <c r="H44" s="1">
        <f>'RND 2 MP'!F33</f>
        <v>1</v>
      </c>
      <c r="I44" s="1">
        <f>'RND 2 MP'!G33</f>
        <v>3</v>
      </c>
      <c r="J44" s="1">
        <f>'RND 2 MP'!H33</f>
        <v>3</v>
      </c>
      <c r="K44" s="1">
        <f>'RND 2 MP'!I33</f>
        <v>3</v>
      </c>
      <c r="L44" s="1">
        <f>'RND 2 MP'!J33</f>
        <v>3</v>
      </c>
      <c r="M44" s="1">
        <f>'RND 2 MP'!K33</f>
        <v>3</v>
      </c>
      <c r="N44" s="1">
        <f>'RND 2 MP'!L33</f>
        <v>3</v>
      </c>
      <c r="O44" s="1">
        <f>'RND 2 MP'!M33</f>
        <v>3</v>
      </c>
      <c r="P44" s="1">
        <f>'RND 2 MP'!N33</f>
        <v>3</v>
      </c>
      <c r="Q44" s="1">
        <f>'RND 2 MP'!O33</f>
        <v>3</v>
      </c>
      <c r="R44" s="1">
        <f>'RND 2 MP'!P33</f>
        <v>3</v>
      </c>
      <c r="S44" s="1">
        <f>'RND 2 MP'!Q33</f>
        <v>3</v>
      </c>
      <c r="T44" s="1">
        <f>'RND 2 MP'!R33</f>
        <v>3</v>
      </c>
      <c r="U44" s="1">
        <f>'RND 2 MP'!S33</f>
        <v>3</v>
      </c>
      <c r="V44" s="1">
        <f>'RND 2 MP'!T33</f>
        <v>7</v>
      </c>
      <c r="W44" s="89">
        <f>'RND 2 MP'!U33</f>
        <v>60</v>
      </c>
    </row>
    <row r="45" spans="1:23" x14ac:dyDescent="0.2">
      <c r="A45" s="83" t="str">
        <f t="shared" si="2"/>
        <v>FINDLAY</v>
      </c>
      <c r="B45" s="78">
        <f t="shared" si="2"/>
        <v>18</v>
      </c>
      <c r="D45" s="83"/>
      <c r="E45" s="1">
        <f>'RND 2 MP'!C34</f>
        <v>1</v>
      </c>
      <c r="F45" s="1">
        <f>'RND 2 MP'!D34</f>
        <v>2</v>
      </c>
      <c r="G45" s="1">
        <f>'RND 2 MP'!E34</f>
        <v>5</v>
      </c>
      <c r="H45" s="1">
        <f>'RND 2 MP'!F34</f>
        <v>2</v>
      </c>
      <c r="I45" s="1">
        <f>'RND 2 MP'!G34</f>
        <v>1</v>
      </c>
      <c r="J45" s="1">
        <f>'RND 2 MP'!H34</f>
        <v>1</v>
      </c>
      <c r="K45" s="1">
        <f>'RND 2 MP'!I34</f>
        <v>1</v>
      </c>
      <c r="L45" s="1">
        <f>'RND 2 MP'!J34</f>
        <v>0</v>
      </c>
      <c r="M45" s="1">
        <f>'RND 2 MP'!K34</f>
        <v>3</v>
      </c>
      <c r="N45" s="1">
        <f>'RND 2 MP'!L34</f>
        <v>1</v>
      </c>
      <c r="O45" s="1">
        <f>'RND 2 MP'!M34</f>
        <v>1</v>
      </c>
      <c r="P45" s="1">
        <f>'RND 2 MP'!N34</f>
        <v>1</v>
      </c>
      <c r="Q45" s="1">
        <f>'RND 2 MP'!O34</f>
        <v>1</v>
      </c>
      <c r="R45" s="1">
        <f>'RND 2 MP'!P34</f>
        <v>1</v>
      </c>
      <c r="S45" s="1">
        <f>'RND 2 MP'!Q34</f>
        <v>5</v>
      </c>
      <c r="T45" s="1">
        <f>'RND 2 MP'!R34</f>
        <v>5</v>
      </c>
      <c r="U45" s="1">
        <f>'RND 2 MP'!S34</f>
        <v>5</v>
      </c>
      <c r="V45" s="1">
        <f>'RND 2 MP'!T34</f>
        <v>6</v>
      </c>
      <c r="W45" s="89">
        <f>'RND 2 MP'!U34</f>
        <v>42</v>
      </c>
    </row>
    <row r="46" spans="1:23" x14ac:dyDescent="0.2">
      <c r="A46" s="83" t="str">
        <f t="shared" si="2"/>
        <v>HOLLANDS</v>
      </c>
      <c r="B46" s="78">
        <f t="shared" si="2"/>
        <v>18</v>
      </c>
      <c r="D46" s="83"/>
      <c r="E46" s="1">
        <f>'RND 2 MP'!C35</f>
        <v>1</v>
      </c>
      <c r="F46" s="1">
        <f>'RND 2 MP'!D35</f>
        <v>2</v>
      </c>
      <c r="G46" s="1">
        <f>'RND 2 MP'!E35</f>
        <v>5</v>
      </c>
      <c r="H46" s="1">
        <f>'RND 2 MP'!F35</f>
        <v>2</v>
      </c>
      <c r="I46" s="1">
        <f>'RND 2 MP'!G35</f>
        <v>1</v>
      </c>
      <c r="J46" s="1">
        <f>'RND 2 MP'!H35</f>
        <v>1</v>
      </c>
      <c r="K46" s="1">
        <f>'RND 2 MP'!I35</f>
        <v>1</v>
      </c>
      <c r="L46" s="1">
        <f>'RND 2 MP'!J35</f>
        <v>0</v>
      </c>
      <c r="M46" s="1">
        <f>'RND 2 MP'!K35</f>
        <v>3</v>
      </c>
      <c r="N46" s="1">
        <f>'RND 2 MP'!L35</f>
        <v>1</v>
      </c>
      <c r="O46" s="1">
        <f>'RND 2 MP'!M35</f>
        <v>1</v>
      </c>
      <c r="P46" s="1">
        <f>'RND 2 MP'!N35</f>
        <v>1</v>
      </c>
      <c r="Q46" s="1">
        <f>'RND 2 MP'!O35</f>
        <v>1</v>
      </c>
      <c r="R46" s="1">
        <f>'RND 2 MP'!P35</f>
        <v>1</v>
      </c>
      <c r="S46" s="1">
        <f>'RND 2 MP'!Q35</f>
        <v>5</v>
      </c>
      <c r="T46" s="1">
        <f>'RND 2 MP'!R35</f>
        <v>5</v>
      </c>
      <c r="U46" s="1">
        <f>'RND 2 MP'!S35</f>
        <v>5</v>
      </c>
      <c r="V46" s="1">
        <f>'RND 2 MP'!T35</f>
        <v>6</v>
      </c>
      <c r="W46" s="89">
        <f>'RND 2 MP'!U35</f>
        <v>42</v>
      </c>
    </row>
    <row r="47" spans="1:23" x14ac:dyDescent="0.2">
      <c r="A47" s="83" t="str">
        <f t="shared" si="2"/>
        <v>LAING</v>
      </c>
      <c r="B47" s="78">
        <f t="shared" si="2"/>
        <v>18</v>
      </c>
      <c r="D47" s="83"/>
      <c r="E47" s="1">
        <f>'RND 2 MP'!C36</f>
        <v>6</v>
      </c>
      <c r="F47" s="1">
        <f>'RND 2 MP'!D36</f>
        <v>5</v>
      </c>
      <c r="G47" s="1">
        <f>'RND 2 MP'!E36</f>
        <v>3</v>
      </c>
      <c r="H47" s="1">
        <f>'RND 2 MP'!F36</f>
        <v>3</v>
      </c>
      <c r="I47" s="1">
        <f>'RND 2 MP'!G36</f>
        <v>2</v>
      </c>
      <c r="J47" s="1">
        <f>'RND 2 MP'!H36</f>
        <v>3</v>
      </c>
      <c r="K47" s="1">
        <f>'RND 2 MP'!I36</f>
        <v>6</v>
      </c>
      <c r="L47" s="1">
        <f>'RND 2 MP'!J36</f>
        <v>1</v>
      </c>
      <c r="M47" s="1">
        <f>'RND 2 MP'!K36</f>
        <v>3</v>
      </c>
      <c r="N47" s="1">
        <f>'RND 2 MP'!L36</f>
        <v>4</v>
      </c>
      <c r="O47" s="1">
        <f>'RND 2 MP'!M36</f>
        <v>4</v>
      </c>
      <c r="P47" s="1">
        <f>'RND 2 MP'!N36</f>
        <v>4</v>
      </c>
      <c r="Q47" s="1">
        <f>'RND 2 MP'!O36</f>
        <v>4</v>
      </c>
      <c r="R47" s="1">
        <f>'RND 2 MP'!P36</f>
        <v>4</v>
      </c>
      <c r="S47" s="1">
        <f>'RND 2 MP'!Q36</f>
        <v>4</v>
      </c>
      <c r="T47" s="1">
        <f>'RND 2 MP'!R36</f>
        <v>5</v>
      </c>
      <c r="U47" s="1">
        <f>'RND 2 MP'!S36</f>
        <v>6</v>
      </c>
      <c r="V47" s="1">
        <f>'RND 2 MP'!T36</f>
        <v>5</v>
      </c>
      <c r="W47" s="89">
        <f>'RND 2 MP'!U36</f>
        <v>72</v>
      </c>
    </row>
    <row r="48" spans="1:23" x14ac:dyDescent="0.2">
      <c r="A48" s="83" t="str">
        <f t="shared" si="2"/>
        <v>REILLY</v>
      </c>
      <c r="B48" s="78">
        <f t="shared" si="2"/>
        <v>18</v>
      </c>
      <c r="D48" s="83"/>
      <c r="E48" s="1">
        <f>'RND 2 MP'!C37</f>
        <v>6</v>
      </c>
      <c r="F48" s="1">
        <f>'RND 2 MP'!D37</f>
        <v>4</v>
      </c>
      <c r="G48" s="1">
        <f>'RND 2 MP'!E37</f>
        <v>6</v>
      </c>
      <c r="H48" s="1">
        <f>'RND 2 MP'!F37</f>
        <v>6</v>
      </c>
      <c r="I48" s="1">
        <f>'RND 2 MP'!G37</f>
        <v>6</v>
      </c>
      <c r="J48" s="1">
        <f>'RND 2 MP'!H37</f>
        <v>0</v>
      </c>
      <c r="K48" s="1">
        <f>'RND 2 MP'!I37</f>
        <v>0</v>
      </c>
      <c r="L48" s="1">
        <f>'RND 2 MP'!J37</f>
        <v>6</v>
      </c>
      <c r="M48" s="1">
        <f>'RND 2 MP'!K37</f>
        <v>6</v>
      </c>
      <c r="N48" s="1">
        <f>'RND 2 MP'!L37</f>
        <v>6</v>
      </c>
      <c r="O48" s="1">
        <f>'RND 2 MP'!M37</f>
        <v>6</v>
      </c>
      <c r="P48" s="1">
        <f>'RND 2 MP'!N37</f>
        <v>6</v>
      </c>
      <c r="Q48" s="1">
        <f>'RND 2 MP'!O37</f>
        <v>6</v>
      </c>
      <c r="R48" s="1">
        <f>'RND 2 MP'!P37</f>
        <v>6</v>
      </c>
      <c r="S48" s="1">
        <f>'RND 2 MP'!Q37</f>
        <v>6</v>
      </c>
      <c r="T48" s="1">
        <f>'RND 2 MP'!R37</f>
        <v>5</v>
      </c>
      <c r="U48" s="1">
        <f>'RND 2 MP'!S37</f>
        <v>6</v>
      </c>
      <c r="V48" s="1">
        <f>'RND 2 MP'!T37</f>
        <v>4</v>
      </c>
      <c r="W48" s="89">
        <f>'RND 2 MP'!U37</f>
        <v>91</v>
      </c>
    </row>
    <row r="49" spans="1:23" x14ac:dyDescent="0.2">
      <c r="A49" s="85" t="str">
        <f t="shared" si="2"/>
        <v>STONES</v>
      </c>
      <c r="B49" s="79">
        <f t="shared" si="2"/>
        <v>18</v>
      </c>
      <c r="D49" s="85"/>
      <c r="E49" s="90">
        <f>'RND 2 MP'!C38</f>
        <v>6</v>
      </c>
      <c r="F49" s="90">
        <f>'RND 2 MP'!D38</f>
        <v>3</v>
      </c>
      <c r="G49" s="90">
        <f>'RND 2 MP'!E38</f>
        <v>6</v>
      </c>
      <c r="H49" s="90">
        <f>'RND 2 MP'!F38</f>
        <v>6</v>
      </c>
      <c r="I49" s="90">
        <f>'RND 2 MP'!G38</f>
        <v>6</v>
      </c>
      <c r="J49" s="90">
        <f>'RND 2 MP'!H38</f>
        <v>6</v>
      </c>
      <c r="K49" s="90">
        <f>'RND 2 MP'!I38</f>
        <v>6</v>
      </c>
      <c r="L49" s="90">
        <f>'RND 2 MP'!J38</f>
        <v>6</v>
      </c>
      <c r="M49" s="90">
        <f>'RND 2 MP'!K38</f>
        <v>0</v>
      </c>
      <c r="N49" s="90">
        <f>'RND 2 MP'!L38</f>
        <v>6</v>
      </c>
      <c r="O49" s="90">
        <f>'RND 2 MP'!M38</f>
        <v>6</v>
      </c>
      <c r="P49" s="90">
        <f>'RND 2 MP'!N38</f>
        <v>6</v>
      </c>
      <c r="Q49" s="90">
        <f>'RND 2 MP'!O38</f>
        <v>6</v>
      </c>
      <c r="R49" s="90">
        <f>'RND 2 MP'!P38</f>
        <v>6</v>
      </c>
      <c r="S49" s="90">
        <f>'RND 2 MP'!Q38</f>
        <v>6</v>
      </c>
      <c r="T49" s="90">
        <f>'RND 2 MP'!R38</f>
        <v>6</v>
      </c>
      <c r="U49" s="90">
        <f>'RND 2 MP'!S38</f>
        <v>6</v>
      </c>
      <c r="V49" s="90">
        <f>'RND 2 MP'!T38</f>
        <v>3</v>
      </c>
      <c r="W49" s="91">
        <f>'RND 2 MP'!U38</f>
        <v>96</v>
      </c>
    </row>
    <row r="53" spans="1:23" x14ac:dyDescent="0.2">
      <c r="A53" t="s">
        <v>73</v>
      </c>
    </row>
    <row r="54" spans="1:23" x14ac:dyDescent="0.2">
      <c r="A54" s="80" t="s">
        <v>1</v>
      </c>
      <c r="B54" s="77" t="s">
        <v>74</v>
      </c>
      <c r="D54" s="96" t="s">
        <v>25</v>
      </c>
      <c r="E54" s="92">
        <v>1</v>
      </c>
      <c r="F54" s="92">
        <v>2</v>
      </c>
      <c r="G54" s="92">
        <v>3</v>
      </c>
      <c r="H54" s="92">
        <v>4</v>
      </c>
      <c r="I54" s="92">
        <v>5</v>
      </c>
      <c r="J54" s="92">
        <v>6</v>
      </c>
      <c r="K54" s="92">
        <v>7</v>
      </c>
      <c r="L54" s="92">
        <v>8</v>
      </c>
      <c r="M54" s="92">
        <v>9</v>
      </c>
      <c r="N54" s="92">
        <v>10</v>
      </c>
      <c r="O54" s="92">
        <v>11</v>
      </c>
      <c r="P54" s="92">
        <v>12</v>
      </c>
      <c r="Q54" s="92">
        <v>13</v>
      </c>
      <c r="R54" s="92">
        <v>14</v>
      </c>
      <c r="S54" s="92">
        <v>15</v>
      </c>
      <c r="T54" s="92">
        <v>16</v>
      </c>
      <c r="U54" s="92">
        <v>17</v>
      </c>
      <c r="V54" s="92">
        <v>18</v>
      </c>
      <c r="W54" s="88" t="s">
        <v>2</v>
      </c>
    </row>
    <row r="55" spans="1:23" ht="19" x14ac:dyDescent="0.25">
      <c r="A55" s="83"/>
      <c r="B55" s="78"/>
      <c r="D55" s="94" t="s">
        <v>23</v>
      </c>
      <c r="E55" s="93">
        <f>E39</f>
        <v>4</v>
      </c>
      <c r="F55" s="93">
        <f t="shared" ref="F55:V55" si="3">F39</f>
        <v>3</v>
      </c>
      <c r="G55" s="93">
        <f t="shared" si="3"/>
        <v>4</v>
      </c>
      <c r="H55" s="93">
        <f t="shared" si="3"/>
        <v>4</v>
      </c>
      <c r="I55" s="93">
        <f t="shared" si="3"/>
        <v>4</v>
      </c>
      <c r="J55" s="93">
        <f t="shared" si="3"/>
        <v>5</v>
      </c>
      <c r="K55" s="93">
        <f t="shared" si="3"/>
        <v>3</v>
      </c>
      <c r="L55" s="93">
        <f t="shared" si="3"/>
        <v>4</v>
      </c>
      <c r="M55" s="93">
        <f t="shared" si="3"/>
        <v>5</v>
      </c>
      <c r="N55" s="93">
        <f t="shared" si="3"/>
        <v>4</v>
      </c>
      <c r="O55" s="93">
        <f t="shared" si="3"/>
        <v>5</v>
      </c>
      <c r="P55" s="93">
        <f t="shared" si="3"/>
        <v>4</v>
      </c>
      <c r="Q55" s="93">
        <f t="shared" si="3"/>
        <v>4</v>
      </c>
      <c r="R55" s="93">
        <f t="shared" si="3"/>
        <v>3</v>
      </c>
      <c r="S55" s="93">
        <f t="shared" si="3"/>
        <v>5</v>
      </c>
      <c r="T55" s="93">
        <f t="shared" si="3"/>
        <v>4</v>
      </c>
      <c r="U55" s="93">
        <f t="shared" si="3"/>
        <v>3</v>
      </c>
      <c r="V55" s="93">
        <f t="shared" si="3"/>
        <v>4</v>
      </c>
      <c r="W55" s="88"/>
    </row>
    <row r="56" spans="1:23" x14ac:dyDescent="0.2">
      <c r="A56" s="83"/>
      <c r="B56" s="78"/>
      <c r="D56" s="94" t="s">
        <v>24</v>
      </c>
      <c r="E56" s="95">
        <f>E40</f>
        <v>16</v>
      </c>
      <c r="F56" s="95">
        <f t="shared" ref="F56:V56" si="4">F40</f>
        <v>8</v>
      </c>
      <c r="G56" s="95">
        <f t="shared" si="4"/>
        <v>2</v>
      </c>
      <c r="H56" s="95">
        <f t="shared" si="4"/>
        <v>18</v>
      </c>
      <c r="I56" s="95">
        <f t="shared" si="4"/>
        <v>4</v>
      </c>
      <c r="J56" s="95">
        <f t="shared" si="4"/>
        <v>12</v>
      </c>
      <c r="K56" s="95">
        <f t="shared" si="4"/>
        <v>6</v>
      </c>
      <c r="L56" s="95">
        <f t="shared" si="4"/>
        <v>10</v>
      </c>
      <c r="M56" s="95">
        <f t="shared" si="4"/>
        <v>14</v>
      </c>
      <c r="N56" s="95">
        <f t="shared" si="4"/>
        <v>11</v>
      </c>
      <c r="O56" s="95">
        <f t="shared" si="4"/>
        <v>1</v>
      </c>
      <c r="P56" s="95">
        <f t="shared" si="4"/>
        <v>5</v>
      </c>
      <c r="Q56" s="95">
        <f t="shared" si="4"/>
        <v>15</v>
      </c>
      <c r="R56" s="95">
        <f t="shared" si="4"/>
        <v>13</v>
      </c>
      <c r="S56" s="95">
        <f t="shared" si="4"/>
        <v>7</v>
      </c>
      <c r="T56" s="95">
        <f t="shared" si="4"/>
        <v>17</v>
      </c>
      <c r="U56" s="95">
        <f t="shared" si="4"/>
        <v>3</v>
      </c>
      <c r="V56" s="95">
        <f t="shared" si="4"/>
        <v>9</v>
      </c>
      <c r="W56" s="88"/>
    </row>
    <row r="57" spans="1:23" x14ac:dyDescent="0.2">
      <c r="B57" s="78"/>
      <c r="D57" s="8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89"/>
    </row>
    <row r="58" spans="1:23" x14ac:dyDescent="0.2">
      <c r="A58" s="83" t="str">
        <f>A42</f>
        <v>BELLIS</v>
      </c>
      <c r="B58" s="78">
        <f>'RND 2 MP'!U56</f>
        <v>5</v>
      </c>
      <c r="D58" s="83"/>
      <c r="E58" s="1" t="str" cm="1">
        <f t="array" ref="E58">IFERROR(
  INDEX($A$99:$A$106,
    MATCH(
      LARGE( INDEX($E$99:$V$106, 0, COLUMN()-4) + ROW($A$99:$A$106)/1000, ROW(A1) ),
      INDEX($E$99:$V$106, 0, COLUMN()-4) + ROW($A$99:$A$106)/1000,
    0)
  ),
"")</f>
        <v>HOLLANDS</v>
      </c>
      <c r="F58" s="1" t="str" cm="1">
        <f t="array" ref="F58">IFERROR(
  INDEX($A$99:$A$106,
    MATCH(
      LARGE( INDEX($E$99:$V$106, 0, COLUMN()-4) + ROW($A$99:$A$106)/1000, ROW(B1) ),
      INDEX($E$99:$V$106, 0, COLUMN()-4) + ROW($A$99:$A$106)/1000,
    0)
  ),
"")</f>
        <v>BELLIS</v>
      </c>
      <c r="G58" s="1" t="str" cm="1">
        <f t="array" ref="G58">IFERROR(
  INDEX($A$99:$A$106,
    MATCH(
      LARGE( INDEX($E$99:$V$106, 0, COLUMN()-4) + ROW($A$99:$A$106)/1000, ROW(C1) ),
      INDEX($E$99:$V$106, 0, COLUMN()-4) + ROW($A$99:$A$106)/1000,
    0)
  ),
"")</f>
        <v>DONOVAN</v>
      </c>
      <c r="H58" s="1" t="str" cm="1">
        <f t="array" ref="H58">IFERROR(
  INDEX($A$99:$A$106,
    MATCH(
      LARGE( INDEX($E$99:$V$106, 0, COLUMN()-4) + ROW($A$99:$A$106)/1000, ROW(D1) ),
      INDEX($E$99:$V$106, 0, COLUMN()-4) + ROW($A$99:$A$106)/1000,
    0)
  ),
"")</f>
        <v>DONOVAN</v>
      </c>
      <c r="I58" s="1" t="str" cm="1">
        <f t="array" ref="I58">IFERROR(
  INDEX($A$99:$A$106,
    MATCH(
      LARGE( INDEX($E$99:$V$106, 0, COLUMN()-4) + ROW($A$99:$A$106)/1000, ROW(E1) ),
      INDEX($E$99:$V$106, 0, COLUMN()-4) + ROW($A$99:$A$106)/1000,
    0)
  ),
"")</f>
        <v>HOLLANDS</v>
      </c>
      <c r="J58" s="1" t="str" cm="1">
        <f t="array" ref="J58">IFERROR(
  INDEX($A$99:$A$106,
    MATCH(
      LARGE( INDEX($E$99:$V$106, 0, COLUMN()-4) + ROW($A$99:$A$106)/1000, ROW(F1) ),
      INDEX($E$99:$V$106, 0, COLUMN()-4) + ROW($A$99:$A$106)/1000,
    0)
  ),
"")</f>
        <v>REILLY</v>
      </c>
      <c r="K58" s="1" t="str" cm="1">
        <f t="array" ref="K58">IFERROR(
  INDEX($A$99:$A$106,
    MATCH(
      LARGE( INDEX($E$99:$V$106, 0, COLUMN()-4) + ROW($A$99:$A$106)/1000, ROW(G1) ),
      INDEX($E$99:$V$106, 0, COLUMN()-4) + ROW($A$99:$A$106)/1000,
    0)
  ),
"")</f>
        <v>REILLY</v>
      </c>
      <c r="L58" s="1" t="str" cm="1">
        <f t="array" ref="L58">IFERROR(
  INDEX($A$99:$A$106,
    MATCH(
      LARGE( INDEX($E$99:$V$106, 0, COLUMN()-4) + ROW($A$99:$A$106)/1000, ROW(H1) ),
      INDEX($E$99:$V$106, 0, COLUMN()-4) + ROW($A$99:$A$106)/1000,
    0)
  ),
"")</f>
        <v>HOLLANDS</v>
      </c>
      <c r="M58" s="1" t="str" cm="1">
        <f t="array" ref="M58">IFERROR(
  INDEX($A$99:$A$106,
    MATCH(
      LARGE( INDEX($E$99:$V$106, 0, COLUMN()-4) + ROW($A$99:$A$106)/1000, ROW(I1) ),
      INDEX($E$99:$V$106, 0, COLUMN()-4) + ROW($A$99:$A$106)/1000,
    0)
  ),
"")</f>
        <v>STONES</v>
      </c>
      <c r="N58" s="1" t="str" cm="1">
        <f t="array" ref="N58">IFERROR(
  INDEX($A$99:$A$106,
    MATCH(
      LARGE( INDEX($E$99:$V$106, 0, COLUMN()-4) + ROW($A$99:$A$106)/1000, ROW(J1) ),
      INDEX($E$99:$V$106, 0, COLUMN()-4) + ROW($A$99:$A$106)/1000,
    0)
  ),
"")</f>
        <v>HOLLANDS</v>
      </c>
      <c r="O58" s="1" t="str" cm="1">
        <f t="array" ref="O58">IFERROR(
  INDEX($A$99:$A$106,
    MATCH(
      LARGE( INDEX($E$99:$V$106, 0, COLUMN()-4) + ROW($A$99:$A$106)/1000, ROW(K1) ),
      INDEX($E$99:$V$106, 0, COLUMN()-4) + ROW($A$99:$A$106)/1000,
    0)
  ),
"")</f>
        <v>HOLLANDS</v>
      </c>
      <c r="P58" s="1" t="str" cm="1">
        <f t="array" ref="P58">IFERROR(
  INDEX($A$99:$A$106,
    MATCH(
      LARGE( INDEX($E$99:$V$106, 0, COLUMN()-4) + ROW($A$99:$A$106)/1000, ROW(L1) ),
      INDEX($E$99:$V$106, 0, COLUMN()-4) + ROW($A$99:$A$106)/1000,
    0)
  ),
"")</f>
        <v>HOLLANDS</v>
      </c>
      <c r="Q58" s="1" t="str" cm="1">
        <f t="array" ref="Q58">IFERROR(
  INDEX($A$99:$A$106,
    MATCH(
      LARGE( INDEX($E$99:$V$106, 0, COLUMN()-4) + ROW($A$99:$A$106)/1000, ROW(M1) ),
      INDEX($E$99:$V$106, 0, COLUMN()-4) + ROW($A$99:$A$106)/1000,
    0)
  ),
"")</f>
        <v>HOLLANDS</v>
      </c>
      <c r="R58" s="1" t="str" cm="1">
        <f t="array" ref="R58">IFERROR(
  INDEX($A$99:$A$106,
    MATCH(
      LARGE( INDEX($E$99:$V$106, 0, COLUMN()-4) + ROW($A$99:$A$106)/1000, ROW(N1) ),
      INDEX($E$99:$V$106, 0, COLUMN()-4) + ROW($A$99:$A$106)/1000,
    0)
  ),
"")</f>
        <v>HOLLANDS</v>
      </c>
      <c r="S58" s="1" t="str" cm="1">
        <f t="array" ref="S58">IFERROR(
  INDEX($A$99:$A$106,
    MATCH(
      LARGE( INDEX($E$99:$V$106, 0, COLUMN()-4) + ROW($A$99:$A$106)/1000, ROW(O1) ),
      INDEX($E$99:$V$106, 0, COLUMN()-4) + ROW($A$99:$A$106)/1000,
    0)
  ),
"")</f>
        <v>DONOVAN</v>
      </c>
      <c r="T58" s="1" t="str" cm="1">
        <f t="array" ref="T58">IFERROR(
  INDEX($A$99:$A$106,
    MATCH(
      LARGE( INDEX($E$99:$V$106, 0, COLUMN()-4) + ROW($A$99:$A$106)/1000, ROW(P1) ),
      INDEX($E$99:$V$106, 0, COLUMN()-4) + ROW($A$99:$A$106)/1000,
    0)
  ),
"")</f>
        <v>DONOVAN</v>
      </c>
      <c r="U58" s="1" t="str" cm="1">
        <f t="array" ref="U58">IFERROR(
  INDEX($A$99:$A$106,
    MATCH(
      LARGE( INDEX($E$99:$V$106, 0, COLUMN()-4) + ROW($A$99:$A$106)/1000, ROW(Q1) ),
      INDEX($E$99:$V$106, 0, COLUMN()-4) + ROW($A$99:$A$106)/1000,
    0)
  ),
"")</f>
        <v>DONOVAN</v>
      </c>
      <c r="V58" s="1" t="str" cm="1">
        <f t="array" ref="V58">IFERROR(
  INDEX($A$99:$A$106,
    MATCH(
      LARGE( INDEX($E$99:$V$106, 0, COLUMN()-4) + ROW($A$99:$A$106)/1000, ROW(R1) ),
      INDEX($E$99:$V$106, 0, COLUMN()-4) + ROW($A$99:$A$106)/1000,
    0)
  ),
"")</f>
        <v>STONES</v>
      </c>
      <c r="W58" s="89"/>
    </row>
    <row r="59" spans="1:23" x14ac:dyDescent="0.2">
      <c r="A59" s="83" t="str">
        <f t="shared" ref="A59" si="5">A43</f>
        <v>DEY</v>
      </c>
      <c r="B59" s="78">
        <f>'RND 2 MP'!U57</f>
        <v>10</v>
      </c>
      <c r="D59" s="83"/>
      <c r="E59" s="1" t="str" cm="1">
        <f t="array" ref="E59">IFERROR(
  INDEX($A$99:$A$106,
    MATCH(
      LARGE( INDEX($E$99:$V$106, 0, COLUMN()-4) + ROW($A$99:$A$106)/1000, ROW(A2) ),
      INDEX($E$99:$V$106, 0, COLUMN()-4) + ROW($A$99:$A$106)/1000,
    0)
  ),
"")</f>
        <v>FINDLAY</v>
      </c>
      <c r="F59" s="1" t="str" cm="1">
        <f t="array" ref="F59">IFERROR(
  INDEX($A$99:$A$106,
    MATCH(
      LARGE( INDEX($E$99:$V$106, 0, COLUMN()-4) + ROW($A$99:$A$106)/1000, ROW(B2) ),
      INDEX($E$99:$V$106, 0, COLUMN()-4) + ROW($A$99:$A$106)/1000,
    0)
  ),
"")</f>
        <v>HOLLANDS</v>
      </c>
      <c r="G59" s="1" t="str" cm="1">
        <f t="array" ref="G59">IFERROR(
  INDEX($A$99:$A$106,
    MATCH(
      LARGE( INDEX($E$99:$V$106, 0, COLUMN()-4) + ROW($A$99:$A$106)/1000, ROW(C2) ),
      INDEX($E$99:$V$106, 0, COLUMN()-4) + ROW($A$99:$A$106)/1000,
    0)
  ),
"")</f>
        <v>LAING</v>
      </c>
      <c r="H59" s="1" t="str" cm="1">
        <f t="array" ref="H59">IFERROR(
  INDEX($A$99:$A$106,
    MATCH(
      LARGE( INDEX($E$99:$V$106, 0, COLUMN()-4) + ROW($A$99:$A$106)/1000, ROW(D2) ),
      INDEX($E$99:$V$106, 0, COLUMN()-4) + ROW($A$99:$A$106)/1000,
    0)
  ),
"")</f>
        <v>HOLLANDS</v>
      </c>
      <c r="I59" s="1" t="str" cm="1">
        <f t="array" ref="I59">IFERROR(
  INDEX($A$99:$A$106,
    MATCH(
      LARGE( INDEX($E$99:$V$106, 0, COLUMN()-4) + ROW($A$99:$A$106)/1000, ROW(E2) ),
      INDEX($E$99:$V$106, 0, COLUMN()-4) + ROW($A$99:$A$106)/1000,
    0)
  ),
"")</f>
        <v>FINDLAY</v>
      </c>
      <c r="J59" s="1" t="str" cm="1">
        <f t="array" ref="J59">IFERROR(
  INDEX($A$99:$A$106,
    MATCH(
      LARGE( INDEX($E$99:$V$106, 0, COLUMN()-4) + ROW($A$99:$A$106)/1000, ROW(F2) ),
      INDEX($E$99:$V$106, 0, COLUMN()-4) + ROW($A$99:$A$106)/1000,
    0)
  ),
"")</f>
        <v>DEY</v>
      </c>
      <c r="K59" s="1" t="str" cm="1">
        <f t="array" ref="K59">IFERROR(
  INDEX($A$99:$A$106,
    MATCH(
      LARGE( INDEX($E$99:$V$106, 0, COLUMN()-4) + ROW($A$99:$A$106)/1000, ROW(G2) ),
      INDEX($E$99:$V$106, 0, COLUMN()-4) + ROW($A$99:$A$106)/1000,
    0)
  ),
"")</f>
        <v>DEY</v>
      </c>
      <c r="L59" s="1" t="str" cm="1">
        <f t="array" ref="L59">IFERROR(
  INDEX($A$99:$A$106,
    MATCH(
      LARGE( INDEX($E$99:$V$106, 0, COLUMN()-4) + ROW($A$99:$A$106)/1000, ROW(H2) ),
      INDEX($E$99:$V$106, 0, COLUMN()-4) + ROW($A$99:$A$106)/1000,
    0)
  ),
"")</f>
        <v>FINDLAY</v>
      </c>
      <c r="M59" s="1" t="str" cm="1">
        <f t="array" ref="M59">IFERROR(
  INDEX($A$99:$A$106,
    MATCH(
      LARGE( INDEX($E$99:$V$106, 0, COLUMN()-4) + ROW($A$99:$A$106)/1000, ROW(I2) ),
      INDEX($E$99:$V$106, 0, COLUMN()-4) + ROW($A$99:$A$106)/1000,
    0)
  ),
"")</f>
        <v>BELLIS</v>
      </c>
      <c r="N59" s="1" t="str" cm="1">
        <f t="array" ref="N59">IFERROR(
  INDEX($A$99:$A$106,
    MATCH(
      LARGE( INDEX($E$99:$V$106, 0, COLUMN()-4) + ROW($A$99:$A$106)/1000, ROW(J2) ),
      INDEX($E$99:$V$106, 0, COLUMN()-4) + ROW($A$99:$A$106)/1000,
    0)
  ),
"")</f>
        <v>FINDLAY</v>
      </c>
      <c r="O59" s="1" t="str" cm="1">
        <f t="array" ref="O59">IFERROR(
  INDEX($A$99:$A$106,
    MATCH(
      LARGE( INDEX($E$99:$V$106, 0, COLUMN()-4) + ROW($A$99:$A$106)/1000, ROW(K2) ),
      INDEX($E$99:$V$106, 0, COLUMN()-4) + ROW($A$99:$A$106)/1000,
    0)
  ),
"")</f>
        <v>FINDLAY</v>
      </c>
      <c r="P59" s="1" t="str" cm="1">
        <f t="array" ref="P59">IFERROR(
  INDEX($A$99:$A$106,
    MATCH(
      LARGE( INDEX($E$99:$V$106, 0, COLUMN()-4) + ROW($A$99:$A$106)/1000, ROW(L2) ),
      INDEX($E$99:$V$106, 0, COLUMN()-4) + ROW($A$99:$A$106)/1000,
    0)
  ),
"")</f>
        <v>FINDLAY</v>
      </c>
      <c r="Q59" s="1" t="str" cm="1">
        <f t="array" ref="Q59">IFERROR(
  INDEX($A$99:$A$106,
    MATCH(
      LARGE( INDEX($E$99:$V$106, 0, COLUMN()-4) + ROW($A$99:$A$106)/1000, ROW(M2) ),
      INDEX($E$99:$V$106, 0, COLUMN()-4) + ROW($A$99:$A$106)/1000,
    0)
  ),
"")</f>
        <v>FINDLAY</v>
      </c>
      <c r="R59" s="1" t="str" cm="1">
        <f t="array" ref="R59">IFERROR(
  INDEX($A$99:$A$106,
    MATCH(
      LARGE( INDEX($E$99:$V$106, 0, COLUMN()-4) + ROW($A$99:$A$106)/1000, ROW(N2) ),
      INDEX($E$99:$V$106, 0, COLUMN()-4) + ROW($A$99:$A$106)/1000,
    0)
  ),
"")</f>
        <v>FINDLAY</v>
      </c>
      <c r="S59" s="1" t="str" cm="1">
        <f t="array" ref="S59">IFERROR(
  INDEX($A$99:$A$106,
    MATCH(
      LARGE( INDEX($E$99:$V$106, 0, COLUMN()-4) + ROW($A$99:$A$106)/1000, ROW(O2) ),
      INDEX($E$99:$V$106, 0, COLUMN()-4) + ROW($A$99:$A$106)/1000,
    0)
  ),
"")</f>
        <v>LAING</v>
      </c>
      <c r="T59" s="1" t="str" cm="1">
        <f t="array" ref="T59">IFERROR(
  INDEX($A$99:$A$106,
    MATCH(
      LARGE( INDEX($E$99:$V$106, 0, COLUMN()-4) + ROW($A$99:$A$106)/1000, ROW(P2) ),
      INDEX($E$99:$V$106, 0, COLUMN()-4) + ROW($A$99:$A$106)/1000,
    0)
  ),
"")</f>
        <v>REILLY</v>
      </c>
      <c r="U59" s="1" t="str" cm="1">
        <f t="array" ref="U59">IFERROR(
  INDEX($A$99:$A$106,
    MATCH(
      LARGE( INDEX($E$99:$V$106, 0, COLUMN()-4) + ROW($A$99:$A$106)/1000, ROW(Q2) ),
      INDEX($E$99:$V$106, 0, COLUMN()-4) + ROW($A$99:$A$106)/1000,
    0)
  ),
"")</f>
        <v>HOLLANDS</v>
      </c>
      <c r="V59" s="1" t="str" cm="1">
        <f t="array" ref="V59">IFERROR(
  INDEX($A$99:$A$106,
    MATCH(
      LARGE( INDEX($E$99:$V$106, 0, COLUMN()-4) + ROW($A$99:$A$106)/1000, ROW(R2) ),
      INDEX($E$99:$V$106, 0, COLUMN()-4) + ROW($A$99:$A$106)/1000,
    0)
  ),
"")</f>
        <v>REILLY</v>
      </c>
      <c r="W59" s="89"/>
    </row>
    <row r="60" spans="1:23" x14ac:dyDescent="0.2">
      <c r="A60" s="83" t="str">
        <f t="shared" ref="A60" si="6">A44</f>
        <v>DONOVAN</v>
      </c>
      <c r="B60" s="78">
        <f>'RND 2 MP'!U58</f>
        <v>32</v>
      </c>
      <c r="D60" s="83"/>
      <c r="E60" s="1" t="str" cm="1">
        <f t="array" ref="E60">IFERROR(
  INDEX($A$99:$A$106,
    MATCH(
      LARGE( INDEX($E$99:$V$106, 0, COLUMN()-4) + ROW($A$99:$A$106)/1000, ROW(A3) ),
      INDEX($E$99:$V$106, 0, COLUMN()-4) + ROW($A$99:$A$106)/1000,
    0)
  ),
"")</f>
        <v>DONOVAN</v>
      </c>
      <c r="F60" s="1" t="str" cm="1">
        <f t="array" ref="F60">IFERROR(
  INDEX($A$99:$A$106,
    MATCH(
      LARGE( INDEX($E$99:$V$106, 0, COLUMN()-4) + ROW($A$99:$A$106)/1000, ROW(B3) ),
      INDEX($E$99:$V$106, 0, COLUMN()-4) + ROW($A$99:$A$106)/1000,
    0)
  ),
"")</f>
        <v>FINDLAY</v>
      </c>
      <c r="G60" s="1" t="str" cm="1">
        <f t="array" ref="G60">IFERROR(
  INDEX($A$99:$A$106,
    MATCH(
      LARGE( INDEX($E$99:$V$106, 0, COLUMN()-4) + ROW($A$99:$A$106)/1000, ROW(C3) ),
      INDEX($E$99:$V$106, 0, COLUMN()-4) + ROW($A$99:$A$106)/1000,
    0)
  ),
"")</f>
        <v>HOLLANDS</v>
      </c>
      <c r="H60" s="1" t="str" cm="1">
        <f t="array" ref="H60">IFERROR(
  INDEX($A$99:$A$106,
    MATCH(
      LARGE( INDEX($E$99:$V$106, 0, COLUMN()-4) + ROW($A$99:$A$106)/1000, ROW(D3) ),
      INDEX($E$99:$V$106, 0, COLUMN()-4) + ROW($A$99:$A$106)/1000,
    0)
  ),
"")</f>
        <v>FINDLAY</v>
      </c>
      <c r="I60" s="1" t="str" cm="1">
        <f t="array" ref="I60">IFERROR(
  INDEX($A$99:$A$106,
    MATCH(
      LARGE( INDEX($E$99:$V$106, 0, COLUMN()-4) + ROW($A$99:$A$106)/1000, ROW(E3) ),
      INDEX($E$99:$V$106, 0, COLUMN()-4) + ROW($A$99:$A$106)/1000,
    0)
  ),
"")</f>
        <v>LAING</v>
      </c>
      <c r="J60" s="1" t="str" cm="1">
        <f t="array" ref="J60">IFERROR(
  INDEX($A$99:$A$106,
    MATCH(
      LARGE( INDEX($E$99:$V$106, 0, COLUMN()-4) + ROW($A$99:$A$106)/1000, ROW(F3) ),
      INDEX($E$99:$V$106, 0, COLUMN()-4) + ROW($A$99:$A$106)/1000,
    0)
  ),
"")</f>
        <v>HOLLANDS</v>
      </c>
      <c r="K60" s="1" t="str" cm="1">
        <f t="array" ref="K60">IFERROR(
  INDEX($A$99:$A$106,
    MATCH(
      LARGE( INDEX($E$99:$V$106, 0, COLUMN()-4) + ROW($A$99:$A$106)/1000, ROW(G3) ),
      INDEX($E$99:$V$106, 0, COLUMN()-4) + ROW($A$99:$A$106)/1000,
    0)
  ),
"")</f>
        <v>HOLLANDS</v>
      </c>
      <c r="L60" s="1" t="str" cm="1">
        <f t="array" ref="L60">IFERROR(
  INDEX($A$99:$A$106,
    MATCH(
      LARGE( INDEX($E$99:$V$106, 0, COLUMN()-4) + ROW($A$99:$A$106)/1000, ROW(H3) ),
      INDEX($E$99:$V$106, 0, COLUMN()-4) + ROW($A$99:$A$106)/1000,
    0)
  ),
"")</f>
        <v>DEY</v>
      </c>
      <c r="M60" s="1" t="str" cm="1">
        <f t="array" ref="M60">IFERROR(
  INDEX($A$99:$A$106,
    MATCH(
      LARGE( INDEX($E$99:$V$106, 0, COLUMN()-4) + ROW($A$99:$A$106)/1000, ROW(I3) ),
      INDEX($E$99:$V$106, 0, COLUMN()-4) + ROW($A$99:$A$106)/1000,
    0)
  ),
"")</f>
        <v>LAING</v>
      </c>
      <c r="N60" s="1" t="str" cm="1">
        <f t="array" ref="N60">IFERROR(
  INDEX($A$99:$A$106,
    MATCH(
      LARGE( INDEX($E$99:$V$106, 0, COLUMN()-4) + ROW($A$99:$A$106)/1000, ROW(J3) ),
      INDEX($E$99:$V$106, 0, COLUMN()-4) + ROW($A$99:$A$106)/1000,
    0)
  ),
"")</f>
        <v>DONOVAN</v>
      </c>
      <c r="O60" s="1" t="str" cm="1">
        <f t="array" ref="O60">IFERROR(
  INDEX($A$99:$A$106,
    MATCH(
      LARGE( INDEX($E$99:$V$106, 0, COLUMN()-4) + ROW($A$99:$A$106)/1000, ROW(K3) ),
      INDEX($E$99:$V$106, 0, COLUMN()-4) + ROW($A$99:$A$106)/1000,
    0)
  ),
"")</f>
        <v>DONOVAN</v>
      </c>
      <c r="P60" s="1" t="str" cm="1">
        <f t="array" ref="P60">IFERROR(
  INDEX($A$99:$A$106,
    MATCH(
      LARGE( INDEX($E$99:$V$106, 0, COLUMN()-4) + ROW($A$99:$A$106)/1000, ROW(L3) ),
      INDEX($E$99:$V$106, 0, COLUMN()-4) + ROW($A$99:$A$106)/1000,
    0)
  ),
"")</f>
        <v>DONOVAN</v>
      </c>
      <c r="Q60" s="1" t="str" cm="1">
        <f t="array" ref="Q60">IFERROR(
  INDEX($A$99:$A$106,
    MATCH(
      LARGE( INDEX($E$99:$V$106, 0, COLUMN()-4) + ROW($A$99:$A$106)/1000, ROW(M3) ),
      INDEX($E$99:$V$106, 0, COLUMN()-4) + ROW($A$99:$A$106)/1000,
    0)
  ),
"")</f>
        <v>DONOVAN</v>
      </c>
      <c r="R60" s="1" t="str" cm="1">
        <f t="array" ref="R60">IFERROR(
  INDEX($A$99:$A$106,
    MATCH(
      LARGE( INDEX($E$99:$V$106, 0, COLUMN()-4) + ROW($A$99:$A$106)/1000, ROW(N3) ),
      INDEX($E$99:$V$106, 0, COLUMN()-4) + ROW($A$99:$A$106)/1000,
    0)
  ),
"")</f>
        <v>DONOVAN</v>
      </c>
      <c r="S60" s="1" t="str" cm="1">
        <f t="array" ref="S60">IFERROR(
  INDEX($A$99:$A$106,
    MATCH(
      LARGE( INDEX($E$99:$V$106, 0, COLUMN()-4) + ROW($A$99:$A$106)/1000, ROW(O3) ),
      INDEX($E$99:$V$106, 0, COLUMN()-4) + ROW($A$99:$A$106)/1000,
    0)
  ),
"")</f>
        <v>HOLLANDS</v>
      </c>
      <c r="T60" s="1" t="str" cm="1">
        <f t="array" ref="T60">IFERROR(
  INDEX($A$99:$A$106,
    MATCH(
      LARGE( INDEX($E$99:$V$106, 0, COLUMN()-4) + ROW($A$99:$A$106)/1000, ROW(P3) ),
      INDEX($E$99:$V$106, 0, COLUMN()-4) + ROW($A$99:$A$106)/1000,
    0)
  ),
"")</f>
        <v>LAING</v>
      </c>
      <c r="U60" s="1" t="str" cm="1">
        <f t="array" ref="U60">IFERROR(
  INDEX($A$99:$A$106,
    MATCH(
      LARGE( INDEX($E$99:$V$106, 0, COLUMN()-4) + ROW($A$99:$A$106)/1000, ROW(Q3) ),
      INDEX($E$99:$V$106, 0, COLUMN()-4) + ROW($A$99:$A$106)/1000,
    0)
  ),
"")</f>
        <v>FINDLAY</v>
      </c>
      <c r="V60" s="1" t="str" cm="1">
        <f t="array" ref="V60">IFERROR(
  INDEX($A$99:$A$106,
    MATCH(
      LARGE( INDEX($E$99:$V$106, 0, COLUMN()-4) + ROW($A$99:$A$106)/1000, ROW(R3) ),
      INDEX($E$99:$V$106, 0, COLUMN()-4) + ROW($A$99:$A$106)/1000,
    0)
  ),
"")</f>
        <v>LAING</v>
      </c>
      <c r="W60" s="89"/>
    </row>
    <row r="61" spans="1:23" x14ac:dyDescent="0.2">
      <c r="A61" s="83" t="str">
        <f t="shared" ref="A61" si="7">A45</f>
        <v>FINDLAY</v>
      </c>
      <c r="B61" s="78">
        <f>'RND 2 MP'!U59</f>
        <v>39</v>
      </c>
      <c r="D61" s="83"/>
      <c r="E61" s="1" t="str" cm="1">
        <f t="array" ref="E61">IFERROR(
  INDEX($A$99:$A$106,
    MATCH(
      LARGE( INDEX($E$99:$V$106, 0, COLUMN()-4) + ROW($A$99:$A$106)/1000, ROW(A4) ),
      INDEX($E$99:$V$106, 0, COLUMN()-4) + ROW($A$99:$A$106)/1000,
    0)
  ),
"")</f>
        <v>STONES</v>
      </c>
      <c r="F61" s="1" t="str" cm="1">
        <f t="array" ref="F61">IFERROR(
  INDEX($A$99:$A$106,
    MATCH(
      LARGE( INDEX($E$99:$V$106, 0, COLUMN()-4) + ROW($A$99:$A$106)/1000, ROW(B4) ),
      INDEX($E$99:$V$106, 0, COLUMN()-4) + ROW($A$99:$A$106)/1000,
    0)
  ),
"")</f>
        <v>STONES</v>
      </c>
      <c r="G61" s="1" t="str" cm="1">
        <f t="array" ref="G61">IFERROR(
  INDEX($A$99:$A$106,
    MATCH(
      LARGE( INDEX($E$99:$V$106, 0, COLUMN()-4) + ROW($A$99:$A$106)/1000, ROW(C4) ),
      INDEX($E$99:$V$106, 0, COLUMN()-4) + ROW($A$99:$A$106)/1000,
    0)
  ),
"")</f>
        <v>FINDLAY</v>
      </c>
      <c r="H61" s="1" t="str" cm="1">
        <f t="array" ref="H61">IFERROR(
  INDEX($A$99:$A$106,
    MATCH(
      LARGE( INDEX($E$99:$V$106, 0, COLUMN()-4) + ROW($A$99:$A$106)/1000, ROW(D4) ),
      INDEX($E$99:$V$106, 0, COLUMN()-4) + ROW($A$99:$A$106)/1000,
    0)
  ),
"")</f>
        <v>LAING</v>
      </c>
      <c r="I61" s="1" t="str" cm="1">
        <f t="array" ref="I61">IFERROR(
  INDEX($A$99:$A$106,
    MATCH(
      LARGE( INDEX($E$99:$V$106, 0, COLUMN()-4) + ROW($A$99:$A$106)/1000, ROW(E4) ),
      INDEX($E$99:$V$106, 0, COLUMN()-4) + ROW($A$99:$A$106)/1000,
    0)
  ),
"")</f>
        <v>DONOVAN</v>
      </c>
      <c r="J61" s="1" t="str" cm="1">
        <f t="array" ref="J61">IFERROR(
  INDEX($A$99:$A$106,
    MATCH(
      LARGE( INDEX($E$99:$V$106, 0, COLUMN()-4) + ROW($A$99:$A$106)/1000, ROW(F4) ),
      INDEX($E$99:$V$106, 0, COLUMN()-4) + ROW($A$99:$A$106)/1000,
    0)
  ),
"")</f>
        <v>FINDLAY</v>
      </c>
      <c r="K61" s="1" t="str" cm="1">
        <f t="array" ref="K61">IFERROR(
  INDEX($A$99:$A$106,
    MATCH(
      LARGE( INDEX($E$99:$V$106, 0, COLUMN()-4) + ROW($A$99:$A$106)/1000, ROW(G4) ),
      INDEX($E$99:$V$106, 0, COLUMN()-4) + ROW($A$99:$A$106)/1000,
    0)
  ),
"")</f>
        <v>FINDLAY</v>
      </c>
      <c r="L61" s="1" t="str" cm="1">
        <f t="array" ref="L61">IFERROR(
  INDEX($A$99:$A$106,
    MATCH(
      LARGE( INDEX($E$99:$V$106, 0, COLUMN()-4) + ROW($A$99:$A$106)/1000, ROW(H4) ),
      INDEX($E$99:$V$106, 0, COLUMN()-4) + ROW($A$99:$A$106)/1000,
    0)
  ),
"")</f>
        <v>LAING</v>
      </c>
      <c r="M61" s="1" t="str" cm="1">
        <f t="array" ref="M61">IFERROR(
  INDEX($A$99:$A$106,
    MATCH(
      LARGE( INDEX($E$99:$V$106, 0, COLUMN()-4) + ROW($A$99:$A$106)/1000, ROW(I4) ),
      INDEX($E$99:$V$106, 0, COLUMN()-4) + ROW($A$99:$A$106)/1000,
    0)
  ),
"")</f>
        <v>HOLLANDS</v>
      </c>
      <c r="N61" s="1" t="str" cm="1">
        <f t="array" ref="N61">IFERROR(
  INDEX($A$99:$A$106,
    MATCH(
      LARGE( INDEX($E$99:$V$106, 0, COLUMN()-4) + ROW($A$99:$A$106)/1000, ROW(J4) ),
      INDEX($E$99:$V$106, 0, COLUMN()-4) + ROW($A$99:$A$106)/1000,
    0)
  ),
"")</f>
        <v>LAING</v>
      </c>
      <c r="O61" s="1" t="str" cm="1">
        <f t="array" ref="O61">IFERROR(
  INDEX($A$99:$A$106,
    MATCH(
      LARGE( INDEX($E$99:$V$106, 0, COLUMN()-4) + ROW($A$99:$A$106)/1000, ROW(K4) ),
      INDEX($E$99:$V$106, 0, COLUMN()-4) + ROW($A$99:$A$106)/1000,
    0)
  ),
"")</f>
        <v>LAING</v>
      </c>
      <c r="P61" s="1" t="str" cm="1">
        <f t="array" ref="P61">IFERROR(
  INDEX($A$99:$A$106,
    MATCH(
      LARGE( INDEX($E$99:$V$106, 0, COLUMN()-4) + ROW($A$99:$A$106)/1000, ROW(L4) ),
      INDEX($E$99:$V$106, 0, COLUMN()-4) + ROW($A$99:$A$106)/1000,
    0)
  ),
"")</f>
        <v>LAING</v>
      </c>
      <c r="Q61" s="1" t="str" cm="1">
        <f t="array" ref="Q61">IFERROR(
  INDEX($A$99:$A$106,
    MATCH(
      LARGE( INDEX($E$99:$V$106, 0, COLUMN()-4) + ROW($A$99:$A$106)/1000, ROW(M4) ),
      INDEX($E$99:$V$106, 0, COLUMN()-4) + ROW($A$99:$A$106)/1000,
    0)
  ),
"")</f>
        <v>LAING</v>
      </c>
      <c r="R61" s="1" t="str" cm="1">
        <f t="array" ref="R61">IFERROR(
  INDEX($A$99:$A$106,
    MATCH(
      LARGE( INDEX($E$99:$V$106, 0, COLUMN()-4) + ROW($A$99:$A$106)/1000, ROW(N4) ),
      INDEX($E$99:$V$106, 0, COLUMN()-4) + ROW($A$99:$A$106)/1000,
    0)
  ),
"")</f>
        <v>LAING</v>
      </c>
      <c r="S61" s="1" t="str" cm="1">
        <f t="array" ref="S61">IFERROR(
  INDEX($A$99:$A$106,
    MATCH(
      LARGE( INDEX($E$99:$V$106, 0, COLUMN()-4) + ROW($A$99:$A$106)/1000, ROW(O4) ),
      INDEX($E$99:$V$106, 0, COLUMN()-4) + ROW($A$99:$A$106)/1000,
    0)
  ),
"")</f>
        <v>FINDLAY</v>
      </c>
      <c r="T61" s="1" t="str" cm="1">
        <f t="array" ref="T61">IFERROR(
  INDEX($A$99:$A$106,
    MATCH(
      LARGE( INDEX($E$99:$V$106, 0, COLUMN()-4) + ROW($A$99:$A$106)/1000, ROW(P4) ),
      INDEX($E$99:$V$106, 0, COLUMN()-4) + ROW($A$99:$A$106)/1000,
    0)
  ),
"")</f>
        <v>HOLLANDS</v>
      </c>
      <c r="U61" s="1" t="str" cm="1">
        <f t="array" ref="U61">IFERROR(
  INDEX($A$99:$A$106,
    MATCH(
      LARGE( INDEX($E$99:$V$106, 0, COLUMN()-4) + ROW($A$99:$A$106)/1000, ROW(Q4) ),
      INDEX($E$99:$V$106, 0, COLUMN()-4) + ROW($A$99:$A$106)/1000,
    0)
  ),
"")</f>
        <v>STONES</v>
      </c>
      <c r="V61" s="1" t="str" cm="1">
        <f t="array" ref="V61">IFERROR(
  INDEX($A$99:$A$106,
    MATCH(
      LARGE( INDEX($E$99:$V$106, 0, COLUMN()-4) + ROW($A$99:$A$106)/1000, ROW(R4) ),
      INDEX($E$99:$V$106, 0, COLUMN()-4) + ROW($A$99:$A$106)/1000,
    0)
  ),
"")</f>
        <v>HOLLANDS</v>
      </c>
      <c r="W61" s="89"/>
    </row>
    <row r="62" spans="1:23" x14ac:dyDescent="0.2">
      <c r="A62" s="83" t="str">
        <f t="shared" ref="A62" si="8">A46</f>
        <v>HOLLANDS</v>
      </c>
      <c r="B62" s="78">
        <f>'RND 2 MP'!U60</f>
        <v>39</v>
      </c>
      <c r="D62" s="83"/>
      <c r="E62" s="1" t="str" cm="1">
        <f t="array" ref="E62">IFERROR(
  INDEX($A$99:$A$106,
    MATCH(
      LARGE( INDEX($E$99:$V$106, 0, COLUMN()-4) + ROW($A$99:$A$106)/1000, ROW(A5) ),
      INDEX($E$99:$V$106, 0, COLUMN()-4) + ROW($A$99:$A$106)/1000,
    0)
  ),
"")</f>
        <v>REILLY</v>
      </c>
      <c r="F62" s="1" t="str" cm="1">
        <f t="array" ref="F62">IFERROR(
  INDEX($A$99:$A$106,
    MATCH(
      LARGE( INDEX($E$99:$V$106, 0, COLUMN()-4) + ROW($A$99:$A$106)/1000, ROW(B5) ),
      INDEX($E$99:$V$106, 0, COLUMN()-4) + ROW($A$99:$A$106)/1000,
    0)
  ),
"")</f>
        <v>REILLY</v>
      </c>
      <c r="G62" s="1" t="str" cm="1">
        <f t="array" ref="G62">IFERROR(
  INDEX($A$99:$A$106,
    MATCH(
      LARGE( INDEX($E$99:$V$106, 0, COLUMN()-4) + ROW($A$99:$A$106)/1000, ROW(C5) ),
      INDEX($E$99:$V$106, 0, COLUMN()-4) + ROW($A$99:$A$106)/1000,
    0)
  ),
"")</f>
        <v>STONES</v>
      </c>
      <c r="H62" s="1" t="str" cm="1">
        <f t="array" ref="H62">IFERROR(
  INDEX($A$99:$A$106,
    MATCH(
      LARGE( INDEX($E$99:$V$106, 0, COLUMN()-4) + ROW($A$99:$A$106)/1000, ROW(D5) ),
      INDEX($E$99:$V$106, 0, COLUMN()-4) + ROW($A$99:$A$106)/1000,
    0)
  ),
"")</f>
        <v>STONES</v>
      </c>
      <c r="I62" s="1" t="str" cm="1">
        <f t="array" ref="I62">IFERROR(
  INDEX($A$99:$A$106,
    MATCH(
      LARGE( INDEX($E$99:$V$106, 0, COLUMN()-4) + ROW($A$99:$A$106)/1000, ROW(E5) ),
      INDEX($E$99:$V$106, 0, COLUMN()-4) + ROW($A$99:$A$106)/1000,
    0)
  ),
"")</f>
        <v>STONES</v>
      </c>
      <c r="J62" s="1" t="str" cm="1">
        <f t="array" ref="J62">IFERROR(
  INDEX($A$99:$A$106,
    MATCH(
      LARGE( INDEX($E$99:$V$106, 0, COLUMN()-4) + ROW($A$99:$A$106)/1000, ROW(F5) ),
      INDEX($E$99:$V$106, 0, COLUMN()-4) + ROW($A$99:$A$106)/1000,
    0)
  ),
"")</f>
        <v>LAING</v>
      </c>
      <c r="K62" s="1" t="str" cm="1">
        <f t="array" ref="K62">IFERROR(
  INDEX($A$99:$A$106,
    MATCH(
      LARGE( INDEX($E$99:$V$106, 0, COLUMN()-4) + ROW($A$99:$A$106)/1000, ROW(G5) ),
      INDEX($E$99:$V$106, 0, COLUMN()-4) + ROW($A$99:$A$106)/1000,
    0)
  ),
"")</f>
        <v>DONOVAN</v>
      </c>
      <c r="L62" s="1" t="str" cm="1">
        <f t="array" ref="L62">IFERROR(
  INDEX($A$99:$A$106,
    MATCH(
      LARGE( INDEX($E$99:$V$106, 0, COLUMN()-4) + ROW($A$99:$A$106)/1000, ROW(H5) ),
      INDEX($E$99:$V$106, 0, COLUMN()-4) + ROW($A$99:$A$106)/1000,
    0)
  ),
"")</f>
        <v>DONOVAN</v>
      </c>
      <c r="M62" s="1" t="str" cm="1">
        <f t="array" ref="M62">IFERROR(
  INDEX($A$99:$A$106,
    MATCH(
      LARGE( INDEX($E$99:$V$106, 0, COLUMN()-4) + ROW($A$99:$A$106)/1000, ROW(I5) ),
      INDEX($E$99:$V$106, 0, COLUMN()-4) + ROW($A$99:$A$106)/1000,
    0)
  ),
"")</f>
        <v>FINDLAY</v>
      </c>
      <c r="N62" s="1" t="str" cm="1">
        <f t="array" ref="N62">IFERROR(
  INDEX($A$99:$A$106,
    MATCH(
      LARGE( INDEX($E$99:$V$106, 0, COLUMN()-4) + ROW($A$99:$A$106)/1000, ROW(J5) ),
      INDEX($E$99:$V$106, 0, COLUMN()-4) + ROW($A$99:$A$106)/1000,
    0)
  ),
"")</f>
        <v>STONES</v>
      </c>
      <c r="O62" s="1" t="str" cm="1">
        <f t="array" ref="O62">IFERROR(
  INDEX($A$99:$A$106,
    MATCH(
      LARGE( INDEX($E$99:$V$106, 0, COLUMN()-4) + ROW($A$99:$A$106)/1000, ROW(K5) ),
      INDEX($E$99:$V$106, 0, COLUMN()-4) + ROW($A$99:$A$106)/1000,
    0)
  ),
"")</f>
        <v>STONES</v>
      </c>
      <c r="P62" s="1" t="str" cm="1">
        <f t="array" ref="P62">IFERROR(
  INDEX($A$99:$A$106,
    MATCH(
      LARGE( INDEX($E$99:$V$106, 0, COLUMN()-4) + ROW($A$99:$A$106)/1000, ROW(L5) ),
      INDEX($E$99:$V$106, 0, COLUMN()-4) + ROW($A$99:$A$106)/1000,
    0)
  ),
"")</f>
        <v>STONES</v>
      </c>
      <c r="Q62" s="1" t="str" cm="1">
        <f t="array" ref="Q62">IFERROR(
  INDEX($A$99:$A$106,
    MATCH(
      LARGE( INDEX($E$99:$V$106, 0, COLUMN()-4) + ROW($A$99:$A$106)/1000, ROW(M5) ),
      INDEX($E$99:$V$106, 0, COLUMN()-4) + ROW($A$99:$A$106)/1000,
    0)
  ),
"")</f>
        <v>STONES</v>
      </c>
      <c r="R62" s="1" t="str" cm="1">
        <f t="array" ref="R62">IFERROR(
  INDEX($A$99:$A$106,
    MATCH(
      LARGE( INDEX($E$99:$V$106, 0, COLUMN()-4) + ROW($A$99:$A$106)/1000, ROW(N5) ),
      INDEX($E$99:$V$106, 0, COLUMN()-4) + ROW($A$99:$A$106)/1000,
    0)
  ),
"")</f>
        <v>STONES</v>
      </c>
      <c r="S62" s="1" t="str" cm="1">
        <f t="array" ref="S62">IFERROR(
  INDEX($A$99:$A$106,
    MATCH(
      LARGE( INDEX($E$99:$V$106, 0, COLUMN()-4) + ROW($A$99:$A$106)/1000, ROW(O5) ),
      INDEX($E$99:$V$106, 0, COLUMN()-4) + ROW($A$99:$A$106)/1000,
    0)
  ),
"")</f>
        <v>STONES</v>
      </c>
      <c r="T62" s="1" t="str" cm="1">
        <f t="array" ref="T62">IFERROR(
  INDEX($A$99:$A$106,
    MATCH(
      LARGE( INDEX($E$99:$V$106, 0, COLUMN()-4) + ROW($A$99:$A$106)/1000, ROW(P5) ),
      INDEX($E$99:$V$106, 0, COLUMN()-4) + ROW($A$99:$A$106)/1000,
    0)
  ),
"")</f>
        <v>FINDLAY</v>
      </c>
      <c r="U62" s="1" t="str" cm="1">
        <f t="array" ref="U62">IFERROR(
  INDEX($A$99:$A$106,
    MATCH(
      LARGE( INDEX($E$99:$V$106, 0, COLUMN()-4) + ROW($A$99:$A$106)/1000, ROW(Q5) ),
      INDEX($E$99:$V$106, 0, COLUMN()-4) + ROW($A$99:$A$106)/1000,
    0)
  ),
"")</f>
        <v>REILLY</v>
      </c>
      <c r="V62" s="1" t="str" cm="1">
        <f t="array" ref="V62">IFERROR(
  INDEX($A$99:$A$106,
    MATCH(
      LARGE( INDEX($E$99:$V$106, 0, COLUMN()-4) + ROW($A$99:$A$106)/1000, ROW(R5) ),
      INDEX($E$99:$V$106, 0, COLUMN()-4) + ROW($A$99:$A$106)/1000,
    0)
  ),
"")</f>
        <v>FINDLAY</v>
      </c>
      <c r="W62" s="89"/>
    </row>
    <row r="63" spans="1:23" x14ac:dyDescent="0.2">
      <c r="A63" s="83" t="str">
        <f t="shared" ref="A63" si="9">A47</f>
        <v>LAING</v>
      </c>
      <c r="B63" s="78">
        <f>'RND 2 MP'!U61</f>
        <v>21</v>
      </c>
      <c r="D63" s="83"/>
      <c r="E63" s="1" t="str" cm="1">
        <f t="array" ref="E63">IFERROR(
  INDEX($A$99:$A$106,
    MATCH(
      LARGE( INDEX($E$99:$V$106, 0, COLUMN()-4) + ROW($A$99:$A$106)/1000, ROW(A6) ),
      INDEX($E$99:$V$106, 0, COLUMN()-4) + ROW($A$99:$A$106)/1000,
    0)
  ),
"")</f>
        <v>LAING</v>
      </c>
      <c r="F63" s="1" t="str" cm="1">
        <f t="array" ref="F63">IFERROR(
  INDEX($A$99:$A$106,
    MATCH(
      LARGE( INDEX($E$99:$V$106, 0, COLUMN()-4) + ROW($A$99:$A$106)/1000, ROW(B6) ),
      INDEX($E$99:$V$106, 0, COLUMN()-4) + ROW($A$99:$A$106)/1000,
    0)
  ),
"")</f>
        <v>LAING</v>
      </c>
      <c r="G63" s="1" t="str" cm="1">
        <f t="array" ref="G63">IFERROR(
  INDEX($A$99:$A$106,
    MATCH(
      LARGE( INDEX($E$99:$V$106, 0, COLUMN()-4) + ROW($A$99:$A$106)/1000, ROW(C6) ),
      INDEX($E$99:$V$106, 0, COLUMN()-4) + ROW($A$99:$A$106)/1000,
    0)
  ),
"")</f>
        <v>REILLY</v>
      </c>
      <c r="H63" s="1" t="str" cm="1">
        <f t="array" ref="H63">IFERROR(
  INDEX($A$99:$A$106,
    MATCH(
      LARGE( INDEX($E$99:$V$106, 0, COLUMN()-4) + ROW($A$99:$A$106)/1000, ROW(D6) ),
      INDEX($E$99:$V$106, 0, COLUMN()-4) + ROW($A$99:$A$106)/1000,
    0)
  ),
"")</f>
        <v>REILLY</v>
      </c>
      <c r="I63" s="1" t="str" cm="1">
        <f t="array" ref="I63">IFERROR(
  INDEX($A$99:$A$106,
    MATCH(
      LARGE( INDEX($E$99:$V$106, 0, COLUMN()-4) + ROW($A$99:$A$106)/1000, ROW(E6) ),
      INDEX($E$99:$V$106, 0, COLUMN()-4) + ROW($A$99:$A$106)/1000,
    0)
  ),
"")</f>
        <v>REILLY</v>
      </c>
      <c r="J63" s="1" t="str" cm="1">
        <f t="array" ref="J63">IFERROR(
  INDEX($A$99:$A$106,
    MATCH(
      LARGE( INDEX($E$99:$V$106, 0, COLUMN()-4) + ROW($A$99:$A$106)/1000, ROW(F6) ),
      INDEX($E$99:$V$106, 0, COLUMN()-4) + ROW($A$99:$A$106)/1000,
    0)
  ),
"")</f>
        <v>DONOVAN</v>
      </c>
      <c r="K63" s="1" t="str" cm="1">
        <f t="array" ref="K63">IFERROR(
  INDEX($A$99:$A$106,
    MATCH(
      LARGE( INDEX($E$99:$V$106, 0, COLUMN()-4) + ROW($A$99:$A$106)/1000, ROW(G6) ),
      INDEX($E$99:$V$106, 0, COLUMN()-4) + ROW($A$99:$A$106)/1000,
    0)
  ),
"")</f>
        <v>STONES</v>
      </c>
      <c r="L63" s="1" t="str" cm="1">
        <f t="array" ref="L63">IFERROR(
  INDEX($A$99:$A$106,
    MATCH(
      LARGE( INDEX($E$99:$V$106, 0, COLUMN()-4) + ROW($A$99:$A$106)/1000, ROW(H6) ),
      INDEX($E$99:$V$106, 0, COLUMN()-4) + ROW($A$99:$A$106)/1000,
    0)
  ),
"")</f>
        <v>STONES</v>
      </c>
      <c r="M63" s="1" t="str" cm="1">
        <f t="array" ref="M63">IFERROR(
  INDEX($A$99:$A$106,
    MATCH(
      LARGE( INDEX($E$99:$V$106, 0, COLUMN()-4) + ROW($A$99:$A$106)/1000, ROW(I6) ),
      INDEX($E$99:$V$106, 0, COLUMN()-4) + ROW($A$99:$A$106)/1000,
    0)
  ),
"")</f>
        <v>DONOVAN</v>
      </c>
      <c r="N63" s="1" t="str" cm="1">
        <f t="array" ref="N63">IFERROR(
  INDEX($A$99:$A$106,
    MATCH(
      LARGE( INDEX($E$99:$V$106, 0, COLUMN()-4) + ROW($A$99:$A$106)/1000, ROW(J6) ),
      INDEX($E$99:$V$106, 0, COLUMN()-4) + ROW($A$99:$A$106)/1000,
    0)
  ),
"")</f>
        <v>REILLY</v>
      </c>
      <c r="O63" s="1" t="str" cm="1">
        <f t="array" ref="O63">IFERROR(
  INDEX($A$99:$A$106,
    MATCH(
      LARGE( INDEX($E$99:$V$106, 0, COLUMN()-4) + ROW($A$99:$A$106)/1000, ROW(K6) ),
      INDEX($E$99:$V$106, 0, COLUMN()-4) + ROW($A$99:$A$106)/1000,
    0)
  ),
"")</f>
        <v>REILLY</v>
      </c>
      <c r="P63" s="1" t="str" cm="1">
        <f t="array" ref="P63">IFERROR(
  INDEX($A$99:$A$106,
    MATCH(
      LARGE( INDEX($E$99:$V$106, 0, COLUMN()-4) + ROW($A$99:$A$106)/1000, ROW(L6) ),
      INDEX($E$99:$V$106, 0, COLUMN()-4) + ROW($A$99:$A$106)/1000,
    0)
  ),
"")</f>
        <v>REILLY</v>
      </c>
      <c r="Q63" s="1" t="str" cm="1">
        <f t="array" ref="Q63">IFERROR(
  INDEX($A$99:$A$106,
    MATCH(
      LARGE( INDEX($E$99:$V$106, 0, COLUMN()-4) + ROW($A$99:$A$106)/1000, ROW(M6) ),
      INDEX($E$99:$V$106, 0, COLUMN()-4) + ROW($A$99:$A$106)/1000,
    0)
  ),
"")</f>
        <v>REILLY</v>
      </c>
      <c r="R63" s="1" t="str" cm="1">
        <f t="array" ref="R63">IFERROR(
  INDEX($A$99:$A$106,
    MATCH(
      LARGE( INDEX($E$99:$V$106, 0, COLUMN()-4) + ROW($A$99:$A$106)/1000, ROW(N6) ),
      INDEX($E$99:$V$106, 0, COLUMN()-4) + ROW($A$99:$A$106)/1000,
    0)
  ),
"")</f>
        <v>REILLY</v>
      </c>
      <c r="S63" s="1" t="str" cm="1">
        <f t="array" ref="S63">IFERROR(
  INDEX($A$99:$A$106,
    MATCH(
      LARGE( INDEX($E$99:$V$106, 0, COLUMN()-4) + ROW($A$99:$A$106)/1000, ROW(O6) ),
      INDEX($E$99:$V$106, 0, COLUMN()-4) + ROW($A$99:$A$106)/1000,
    0)
  ),
"")</f>
        <v>REILLY</v>
      </c>
      <c r="T63" s="1" t="str" cm="1">
        <f t="array" ref="T63">IFERROR(
  INDEX($A$99:$A$106,
    MATCH(
      LARGE( INDEX($E$99:$V$106, 0, COLUMN()-4) + ROW($A$99:$A$106)/1000, ROW(P6) ),
      INDEX($E$99:$V$106, 0, COLUMN()-4) + ROW($A$99:$A$106)/1000,
    0)
  ),
"")</f>
        <v>STONES</v>
      </c>
      <c r="U63" s="1" t="str" cm="1">
        <f t="array" ref="U63">IFERROR(
  INDEX($A$99:$A$106,
    MATCH(
      LARGE( INDEX($E$99:$V$106, 0, COLUMN()-4) + ROW($A$99:$A$106)/1000, ROW(Q6) ),
      INDEX($E$99:$V$106, 0, COLUMN()-4) + ROW($A$99:$A$106)/1000,
    0)
  ),
"")</f>
        <v>LAING</v>
      </c>
      <c r="V63" s="1" t="str" cm="1">
        <f t="array" ref="V63">IFERROR(
  INDEX($A$99:$A$106,
    MATCH(
      LARGE( INDEX($E$99:$V$106, 0, COLUMN()-4) + ROW($A$99:$A$106)/1000, ROW(R6) ),
      INDEX($E$99:$V$106, 0, COLUMN()-4) + ROW($A$99:$A$106)/1000,
    0)
  ),
"")</f>
        <v>DONOVAN</v>
      </c>
      <c r="W63" s="89"/>
    </row>
    <row r="64" spans="1:23" x14ac:dyDescent="0.2">
      <c r="A64" s="83" t="str">
        <f t="shared" ref="A64" si="10">A48</f>
        <v>REILLY</v>
      </c>
      <c r="B64" s="78">
        <f>'RND 2 MP'!U62</f>
        <v>12</v>
      </c>
      <c r="D64" s="83"/>
      <c r="E64" s="1" t="str" cm="1">
        <f t="array" ref="E64">IFERROR(
  INDEX($A$99:$A$106,
    MATCH(
      LARGE( INDEX($E$99:$V$106, 0, COLUMN()-4) + ROW($A$99:$A$106)/1000, ROW(A7) ),
      INDEX($E$99:$V$106, 0, COLUMN()-4) + ROW($A$99:$A$106)/1000,
    0)
  ),
"")</f>
        <v>DEY</v>
      </c>
      <c r="F64" s="1" t="str" cm="1">
        <f t="array" ref="F64">IFERROR(
  INDEX($A$99:$A$106,
    MATCH(
      LARGE( INDEX($E$99:$V$106, 0, COLUMN()-4) + ROW($A$99:$A$106)/1000, ROW(B7) ),
      INDEX($E$99:$V$106, 0, COLUMN()-4) + ROW($A$99:$A$106)/1000,
    0)
  ),
"")</f>
        <v>DONOVAN</v>
      </c>
      <c r="G64" s="1" t="str" cm="1">
        <f t="array" ref="G64">IFERROR(
  INDEX($A$99:$A$106,
    MATCH(
      LARGE( INDEX($E$99:$V$106, 0, COLUMN()-4) + ROW($A$99:$A$106)/1000, ROW(C7) ),
      INDEX($E$99:$V$106, 0, COLUMN()-4) + ROW($A$99:$A$106)/1000,
    0)
  ),
"")</f>
        <v>DEY</v>
      </c>
      <c r="H64" s="1" t="str" cm="1">
        <f t="array" ref="H64">IFERROR(
  INDEX($A$99:$A$106,
    MATCH(
      LARGE( INDEX($E$99:$V$106, 0, COLUMN()-4) + ROW($A$99:$A$106)/1000, ROW(D7) ),
      INDEX($E$99:$V$106, 0, COLUMN()-4) + ROW($A$99:$A$106)/1000,
    0)
  ),
"")</f>
        <v>DEY</v>
      </c>
      <c r="I64" s="1" t="str" cm="1">
        <f t="array" ref="I64">IFERROR(
  INDEX($A$99:$A$106,
    MATCH(
      LARGE( INDEX($E$99:$V$106, 0, COLUMN()-4) + ROW($A$99:$A$106)/1000, ROW(E7) ),
      INDEX($E$99:$V$106, 0, COLUMN()-4) + ROW($A$99:$A$106)/1000,
    0)
  ),
"")</f>
        <v>DEY</v>
      </c>
      <c r="J64" s="1" t="str" cm="1">
        <f t="array" ref="J64">IFERROR(
  INDEX($A$99:$A$106,
    MATCH(
      LARGE( INDEX($E$99:$V$106, 0, COLUMN()-4) + ROW($A$99:$A$106)/1000, ROW(F7) ),
      INDEX($E$99:$V$106, 0, COLUMN()-4) + ROW($A$99:$A$106)/1000,
    0)
  ),
"")</f>
        <v>STONES</v>
      </c>
      <c r="K64" s="1" t="str" cm="1">
        <f t="array" ref="K64">IFERROR(
  INDEX($A$99:$A$106,
    MATCH(
      LARGE( INDEX($E$99:$V$106, 0, COLUMN()-4) + ROW($A$99:$A$106)/1000, ROW(G7) ),
      INDEX($E$99:$V$106, 0, COLUMN()-4) + ROW($A$99:$A$106)/1000,
    0)
  ),
"")</f>
        <v>LAING</v>
      </c>
      <c r="L64" s="1" t="str" cm="1">
        <f t="array" ref="L64">IFERROR(
  INDEX($A$99:$A$106,
    MATCH(
      LARGE( INDEX($E$99:$V$106, 0, COLUMN()-4) + ROW($A$99:$A$106)/1000, ROW(H7) ),
      INDEX($E$99:$V$106, 0, COLUMN()-4) + ROW($A$99:$A$106)/1000,
    0)
  ),
"")</f>
        <v>REILLY</v>
      </c>
      <c r="M64" s="1" t="str" cm="1">
        <f t="array" ref="M64">IFERROR(
  INDEX($A$99:$A$106,
    MATCH(
      LARGE( INDEX($E$99:$V$106, 0, COLUMN()-4) + ROW($A$99:$A$106)/1000, ROW(I7) ),
      INDEX($E$99:$V$106, 0, COLUMN()-4) + ROW($A$99:$A$106)/1000,
    0)
  ),
"")</f>
        <v>REILLY</v>
      </c>
      <c r="N64" s="1" t="str" cm="1">
        <f t="array" ref="N64">IFERROR(
  INDEX($A$99:$A$106,
    MATCH(
      LARGE( INDEX($E$99:$V$106, 0, COLUMN()-4) + ROW($A$99:$A$106)/1000, ROW(J7) ),
      INDEX($E$99:$V$106, 0, COLUMN()-4) + ROW($A$99:$A$106)/1000,
    0)
  ),
"")</f>
        <v>DEY</v>
      </c>
      <c r="O64" s="1" t="str" cm="1">
        <f t="array" ref="O64">IFERROR(
  INDEX($A$99:$A$106,
    MATCH(
      LARGE( INDEX($E$99:$V$106, 0, COLUMN()-4) + ROW($A$99:$A$106)/1000, ROW(K7) ),
      INDEX($E$99:$V$106, 0, COLUMN()-4) + ROW($A$99:$A$106)/1000,
    0)
  ),
"")</f>
        <v>DEY</v>
      </c>
      <c r="P64" s="1" t="str" cm="1">
        <f t="array" ref="P64">IFERROR(
  INDEX($A$99:$A$106,
    MATCH(
      LARGE( INDEX($E$99:$V$106, 0, COLUMN()-4) + ROW($A$99:$A$106)/1000, ROW(L7) ),
      INDEX($E$99:$V$106, 0, COLUMN()-4) + ROW($A$99:$A$106)/1000,
    0)
  ),
"")</f>
        <v>DEY</v>
      </c>
      <c r="Q64" s="1" t="str" cm="1">
        <f t="array" ref="Q64">IFERROR(
  INDEX($A$99:$A$106,
    MATCH(
      LARGE( INDEX($E$99:$V$106, 0, COLUMN()-4) + ROW($A$99:$A$106)/1000, ROW(M7) ),
      INDEX($E$99:$V$106, 0, COLUMN()-4) + ROW($A$99:$A$106)/1000,
    0)
  ),
"")</f>
        <v>DEY</v>
      </c>
      <c r="R64" s="1" t="str" cm="1">
        <f t="array" ref="R64">IFERROR(
  INDEX($A$99:$A$106,
    MATCH(
      LARGE( INDEX($E$99:$V$106, 0, COLUMN()-4) + ROW($A$99:$A$106)/1000, ROW(N7) ),
      INDEX($E$99:$V$106, 0, COLUMN()-4) + ROW($A$99:$A$106)/1000,
    0)
  ),
"")</f>
        <v>DEY</v>
      </c>
      <c r="S64" s="1" t="str" cm="1">
        <f t="array" ref="S64">IFERROR(
  INDEX($A$99:$A$106,
    MATCH(
      LARGE( INDEX($E$99:$V$106, 0, COLUMN()-4) + ROW($A$99:$A$106)/1000, ROW(O7) ),
      INDEX($E$99:$V$106, 0, COLUMN()-4) + ROW($A$99:$A$106)/1000,
    0)
  ),
"")</f>
        <v>DEY</v>
      </c>
      <c r="T64" s="1" t="str" cm="1">
        <f t="array" ref="T64">IFERROR(
  INDEX($A$99:$A$106,
    MATCH(
      LARGE( INDEX($E$99:$V$106, 0, COLUMN()-4) + ROW($A$99:$A$106)/1000, ROW(P7) ),
      INDEX($E$99:$V$106, 0, COLUMN()-4) + ROW($A$99:$A$106)/1000,
    0)
  ),
"")</f>
        <v>DEY</v>
      </c>
      <c r="U64" s="1" t="str" cm="1">
        <f t="array" ref="U64">IFERROR(
  INDEX($A$99:$A$106,
    MATCH(
      LARGE( INDEX($E$99:$V$106, 0, COLUMN()-4) + ROW($A$99:$A$106)/1000, ROW(Q7) ),
      INDEX($E$99:$V$106, 0, COLUMN()-4) + ROW($A$99:$A$106)/1000,
    0)
  ),
"")</f>
        <v>DEY</v>
      </c>
      <c r="V64" s="1" t="str" cm="1">
        <f t="array" ref="V64">IFERROR(
  INDEX($A$99:$A$106,
    MATCH(
      LARGE( INDEX($E$99:$V$106, 0, COLUMN()-4) + ROW($A$99:$A$106)/1000, ROW(R7) ),
      INDEX($E$99:$V$106, 0, COLUMN()-4) + ROW($A$99:$A$106)/1000,
    0)
  ),
"")</f>
        <v>DEY</v>
      </c>
      <c r="W64" s="89"/>
    </row>
    <row r="65" spans="1:23" x14ac:dyDescent="0.2">
      <c r="A65" s="85" t="str">
        <f t="shared" ref="A65" si="11">A49</f>
        <v>STONES</v>
      </c>
      <c r="B65" s="79">
        <f>'RND 2 MP'!U63</f>
        <v>10</v>
      </c>
      <c r="D65" s="85"/>
      <c r="E65" s="90" t="str" cm="1">
        <f t="array" ref="E65">IFERROR(
  INDEX($A$99:$A$106,
    MATCH(
      LARGE( INDEX($E$99:$V$106, 0, COLUMN()-4) + ROW($A$99:$A$106)/1000, ROW(A8) ),
      INDEX($E$99:$V$106, 0, COLUMN()-4) + ROW($A$99:$A$106)/1000,
    0)
  ),
"")</f>
        <v>BELLIS</v>
      </c>
      <c r="F65" s="90" t="str" cm="1">
        <f t="array" ref="F65">IFERROR(
  INDEX($A$99:$A$106,
    MATCH(
      LARGE( INDEX($E$99:$V$106, 0, COLUMN()-4) + ROW($A$99:$A$106)/1000, ROW(B8) ),
      INDEX($E$99:$V$106, 0, COLUMN()-4) + ROW($A$99:$A$106)/1000,
    0)
  ),
"")</f>
        <v>DEY</v>
      </c>
      <c r="G65" s="90" t="str" cm="1">
        <f t="array" ref="G65">IFERROR(
  INDEX($A$99:$A$106,
    MATCH(
      LARGE( INDEX($E$99:$V$106, 0, COLUMN()-4) + ROW($A$99:$A$106)/1000, ROW(C8) ),
      INDEX($E$99:$V$106, 0, COLUMN()-4) + ROW($A$99:$A$106)/1000,
    0)
  ),
"")</f>
        <v>BELLIS</v>
      </c>
      <c r="H65" s="90" t="str" cm="1">
        <f t="array" ref="H65">IFERROR(
  INDEX($A$99:$A$106,
    MATCH(
      LARGE( INDEX($E$99:$V$106, 0, COLUMN()-4) + ROW($A$99:$A$106)/1000, ROW(D8) ),
      INDEX($E$99:$V$106, 0, COLUMN()-4) + ROW($A$99:$A$106)/1000,
    0)
  ),
"")</f>
        <v>BELLIS</v>
      </c>
      <c r="I65" s="90" t="str" cm="1">
        <f t="array" ref="I65">IFERROR(
  INDEX($A$99:$A$106,
    MATCH(
      LARGE( INDEX($E$99:$V$106, 0, COLUMN()-4) + ROW($A$99:$A$106)/1000, ROW(E8) ),
      INDEX($E$99:$V$106, 0, COLUMN()-4) + ROW($A$99:$A$106)/1000,
    0)
  ),
"")</f>
        <v>BELLIS</v>
      </c>
      <c r="J65" s="90" t="str" cm="1">
        <f t="array" ref="J65">IFERROR(
  INDEX($A$99:$A$106,
    MATCH(
      LARGE( INDEX($E$99:$V$106, 0, COLUMN()-4) + ROW($A$99:$A$106)/1000, ROW(F8) ),
      INDEX($E$99:$V$106, 0, COLUMN()-4) + ROW($A$99:$A$106)/1000,
    0)
  ),
"")</f>
        <v>BELLIS</v>
      </c>
      <c r="K65" s="90" t="str" cm="1">
        <f t="array" ref="K65">IFERROR(
  INDEX($A$99:$A$106,
    MATCH(
      LARGE( INDEX($E$99:$V$106, 0, COLUMN()-4) + ROW($A$99:$A$106)/1000, ROW(G8) ),
      INDEX($E$99:$V$106, 0, COLUMN()-4) + ROW($A$99:$A$106)/1000,
    0)
  ),
"")</f>
        <v>BELLIS</v>
      </c>
      <c r="L65" s="90" t="str" cm="1">
        <f t="array" ref="L65">IFERROR(
  INDEX($A$99:$A$106,
    MATCH(
      LARGE( INDEX($E$99:$V$106, 0, COLUMN()-4) + ROW($A$99:$A$106)/1000, ROW(H8) ),
      INDEX($E$99:$V$106, 0, COLUMN()-4) + ROW($A$99:$A$106)/1000,
    0)
  ),
"")</f>
        <v>BELLIS</v>
      </c>
      <c r="M65" s="90" t="str" cm="1">
        <f t="array" ref="M65">IFERROR(
  INDEX($A$99:$A$106,
    MATCH(
      LARGE( INDEX($E$99:$V$106, 0, COLUMN()-4) + ROW($A$99:$A$106)/1000, ROW(I8) ),
      INDEX($E$99:$V$106, 0, COLUMN()-4) + ROW($A$99:$A$106)/1000,
    0)
  ),
"")</f>
        <v>DEY</v>
      </c>
      <c r="N65" s="90" t="str" cm="1">
        <f t="array" ref="N65">IFERROR(
  INDEX($A$99:$A$106,
    MATCH(
      LARGE( INDEX($E$99:$V$106, 0, COLUMN()-4) + ROW($A$99:$A$106)/1000, ROW(J8) ),
      INDEX($E$99:$V$106, 0, COLUMN()-4) + ROW($A$99:$A$106)/1000,
    0)
  ),
"")</f>
        <v>BELLIS</v>
      </c>
      <c r="O65" s="90" t="str" cm="1">
        <f t="array" ref="O65">IFERROR(
  INDEX($A$99:$A$106,
    MATCH(
      LARGE( INDEX($E$99:$V$106, 0, COLUMN()-4) + ROW($A$99:$A$106)/1000, ROW(K8) ),
      INDEX($E$99:$V$106, 0, COLUMN()-4) + ROW($A$99:$A$106)/1000,
    0)
  ),
"")</f>
        <v>BELLIS</v>
      </c>
      <c r="P65" s="90" t="str" cm="1">
        <f t="array" ref="P65">IFERROR(
  INDEX($A$99:$A$106,
    MATCH(
      LARGE( INDEX($E$99:$V$106, 0, COLUMN()-4) + ROW($A$99:$A$106)/1000, ROW(L8) ),
      INDEX($E$99:$V$106, 0, COLUMN()-4) + ROW($A$99:$A$106)/1000,
    0)
  ),
"")</f>
        <v>BELLIS</v>
      </c>
      <c r="Q65" s="90" t="str" cm="1">
        <f t="array" ref="Q65">IFERROR(
  INDEX($A$99:$A$106,
    MATCH(
      LARGE( INDEX($E$99:$V$106, 0, COLUMN()-4) + ROW($A$99:$A$106)/1000, ROW(M8) ),
      INDEX($E$99:$V$106, 0, COLUMN()-4) + ROW($A$99:$A$106)/1000,
    0)
  ),
"")</f>
        <v>BELLIS</v>
      </c>
      <c r="R65" s="90" t="str" cm="1">
        <f t="array" ref="R65">IFERROR(
  INDEX($A$99:$A$106,
    MATCH(
      LARGE( INDEX($E$99:$V$106, 0, COLUMN()-4) + ROW($A$99:$A$106)/1000, ROW(N8) ),
      INDEX($E$99:$V$106, 0, COLUMN()-4) + ROW($A$99:$A$106)/1000,
    0)
  ),
"")</f>
        <v>BELLIS</v>
      </c>
      <c r="S65" s="90" t="str" cm="1">
        <f t="array" ref="S65">IFERROR(
  INDEX($A$99:$A$106,
    MATCH(
      LARGE( INDEX($E$99:$V$106, 0, COLUMN()-4) + ROW($A$99:$A$106)/1000, ROW(O8) ),
      INDEX($E$99:$V$106, 0, COLUMN()-4) + ROW($A$99:$A$106)/1000,
    0)
  ),
"")</f>
        <v>BELLIS</v>
      </c>
      <c r="T65" s="90" t="str" cm="1">
        <f t="array" ref="T65">IFERROR(
  INDEX($A$99:$A$106,
    MATCH(
      LARGE( INDEX($E$99:$V$106, 0, COLUMN()-4) + ROW($A$99:$A$106)/1000, ROW(P8) ),
      INDEX($E$99:$V$106, 0, COLUMN()-4) + ROW($A$99:$A$106)/1000,
    0)
  ),
"")</f>
        <v>BELLIS</v>
      </c>
      <c r="U65" s="90" t="str" cm="1">
        <f t="array" ref="U65">IFERROR(
  INDEX($A$99:$A$106,
    MATCH(
      LARGE( INDEX($E$99:$V$106, 0, COLUMN()-4) + ROW($A$99:$A$106)/1000, ROW(Q8) ),
      INDEX($E$99:$V$106, 0, COLUMN()-4) + ROW($A$99:$A$106)/1000,
    0)
  ),
"")</f>
        <v>BELLIS</v>
      </c>
      <c r="V65" s="90" t="str" cm="1">
        <f t="array" ref="V65">IFERROR(
  INDEX($A$99:$A$106,
    MATCH(
      LARGE( INDEX($E$99:$V$106, 0, COLUMN()-4) + ROW($A$99:$A$106)/1000, ROW(R8) ),
      INDEX($E$99:$V$106, 0, COLUMN()-4) + ROW($A$99:$A$106)/1000,
    0)
  ),
"")</f>
        <v>BELLIS</v>
      </c>
      <c r="W65" s="91"/>
    </row>
    <row r="72" spans="1:23" x14ac:dyDescent="0.2">
      <c r="A72" s="157" t="s">
        <v>94</v>
      </c>
      <c r="B72" s="158"/>
      <c r="C72" s="158"/>
      <c r="D72" s="158"/>
      <c r="E72" s="158"/>
      <c r="F72" s="4"/>
    </row>
    <row r="73" spans="1:23" x14ac:dyDescent="0.2">
      <c r="A73" s="159"/>
      <c r="B73" s="226"/>
      <c r="D73" t="s">
        <v>67</v>
      </c>
      <c r="E73" t="s">
        <v>66</v>
      </c>
      <c r="F73" s="9" t="s">
        <v>104</v>
      </c>
    </row>
    <row r="74" spans="1:23" x14ac:dyDescent="0.2">
      <c r="A74" s="159" t="str">
        <f>'OVERALL CALC'!Q39</f>
        <v>1ST</v>
      </c>
      <c r="B74" t="str">
        <f>'OVERALL CALC'!R39</f>
        <v>⬆</v>
      </c>
      <c r="C74" t="str">
        <f>'OVERALL CALC'!S39</f>
        <v>FINDLAY</v>
      </c>
      <c r="D74">
        <f>'OVERALL CALC'!T39</f>
        <v>15</v>
      </c>
      <c r="E74">
        <f>'OVERALL CALC'!U39</f>
        <v>22.5</v>
      </c>
      <c r="F74" s="9">
        <f>'OVERALL CALC'!V39</f>
        <v>37.5</v>
      </c>
    </row>
    <row r="75" spans="1:23" x14ac:dyDescent="0.2">
      <c r="A75" s="159" t="str">
        <f>'OVERALL CALC'!Q40</f>
        <v>2ND</v>
      </c>
      <c r="B75" t="str">
        <f>'OVERALL CALC'!R40</f>
        <v>⬆</v>
      </c>
      <c r="C75" t="str">
        <f>'OVERALL CALC'!S40</f>
        <v>HOLLANDS</v>
      </c>
      <c r="D75">
        <f>'OVERALL CALC'!T40</f>
        <v>12</v>
      </c>
      <c r="E75">
        <f>'OVERALL CALC'!U40</f>
        <v>22.5</v>
      </c>
      <c r="F75" s="9">
        <f>'OVERALL CALC'!V40</f>
        <v>34.5</v>
      </c>
    </row>
    <row r="76" spans="1:23" x14ac:dyDescent="0.2">
      <c r="A76" s="159" t="str">
        <f>'OVERALL CALC'!Q41</f>
        <v>3RD</v>
      </c>
      <c r="B76" t="str">
        <f>'OVERALL CALC'!R41</f>
        <v>⬇</v>
      </c>
      <c r="C76" t="str">
        <f>'OVERALL CALC'!S41</f>
        <v>STONES</v>
      </c>
      <c r="D76">
        <f>'OVERALL CALC'!T41</f>
        <v>24</v>
      </c>
      <c r="E76">
        <f>'OVERALL CALC'!U41</f>
        <v>7.5</v>
      </c>
      <c r="F76" s="9">
        <f>'OVERALL CALC'!V41</f>
        <v>31.5</v>
      </c>
    </row>
    <row r="77" spans="1:23" x14ac:dyDescent="0.2">
      <c r="A77" s="159" t="str">
        <f>'OVERALL CALC'!Q42</f>
        <v>4TH</v>
      </c>
      <c r="B77" t="str">
        <f>'OVERALL CALC'!R42</f>
        <v>⬇</v>
      </c>
      <c r="C77" t="str">
        <f>'OVERALL CALC'!S42</f>
        <v>REILLY</v>
      </c>
      <c r="D77">
        <f>'OVERALL CALC'!T42</f>
        <v>18</v>
      </c>
      <c r="E77">
        <f>'OVERALL CALC'!U42</f>
        <v>12</v>
      </c>
      <c r="F77" s="9">
        <f>'OVERALL CALC'!V42</f>
        <v>30</v>
      </c>
    </row>
    <row r="78" spans="1:23" x14ac:dyDescent="0.2">
      <c r="A78" s="159" t="str">
        <f>'OVERALL CALC'!Q43</f>
        <v>5TH</v>
      </c>
      <c r="B78" t="str">
        <f>'OVERALL CALC'!R43</f>
        <v>⬆</v>
      </c>
      <c r="C78" t="str">
        <f>'OVERALL CALC'!S43</f>
        <v>DONOVAN</v>
      </c>
      <c r="D78">
        <f>'OVERALL CALC'!T43</f>
        <v>7.5</v>
      </c>
      <c r="E78">
        <f>'OVERALL CALC'!U43</f>
        <v>18</v>
      </c>
      <c r="F78" s="9">
        <f>'OVERALL CALC'!V43</f>
        <v>25.5</v>
      </c>
    </row>
    <row r="79" spans="1:23" x14ac:dyDescent="0.2">
      <c r="A79" s="159" t="str">
        <f>'OVERALL CALC'!Q44</f>
        <v>6TH</v>
      </c>
      <c r="B79" t="str">
        <f>'OVERALL CALC'!R44</f>
        <v>⬇</v>
      </c>
      <c r="C79" t="str">
        <f>'OVERALL CALC'!S44</f>
        <v>BELLIS</v>
      </c>
      <c r="D79">
        <f>'OVERALL CALC'!T44</f>
        <v>21</v>
      </c>
      <c r="E79">
        <f>'OVERALL CALC'!U44</f>
        <v>3</v>
      </c>
      <c r="F79" s="9">
        <f>'OVERALL CALC'!V44</f>
        <v>24</v>
      </c>
    </row>
    <row r="80" spans="1:23" x14ac:dyDescent="0.2">
      <c r="A80" s="159" t="str">
        <f>'OVERALL CALC'!Q45</f>
        <v>7TH</v>
      </c>
      <c r="B80" t="str">
        <f>'OVERALL CALC'!R45</f>
        <v>⬆</v>
      </c>
      <c r="C80" t="str">
        <f>'OVERALL CALC'!S45</f>
        <v>LAING</v>
      </c>
      <c r="D80">
        <f>'OVERALL CALC'!T45</f>
        <v>3</v>
      </c>
      <c r="E80">
        <f>'OVERALL CALC'!U45</f>
        <v>15</v>
      </c>
      <c r="F80" s="9">
        <f>'OVERALL CALC'!V45</f>
        <v>18</v>
      </c>
    </row>
    <row r="81" spans="1:6" x14ac:dyDescent="0.2">
      <c r="A81" s="160" t="str">
        <f>'OVERALL CALC'!Q46</f>
        <v>8TH</v>
      </c>
      <c r="B81" s="161" t="str">
        <f>'OVERALL CALC'!R46</f>
        <v>⬇</v>
      </c>
      <c r="C81" s="161" t="str">
        <f>'OVERALL CALC'!S46</f>
        <v>DEY</v>
      </c>
      <c r="D81" s="161">
        <f>'OVERALL CALC'!T46</f>
        <v>7.5</v>
      </c>
      <c r="E81" s="161">
        <f>'OVERALL CALC'!U46</f>
        <v>7.5</v>
      </c>
      <c r="F81" s="10">
        <f>'OVERALL CALC'!V46</f>
        <v>15</v>
      </c>
    </row>
    <row r="83" spans="1:6" x14ac:dyDescent="0.2">
      <c r="A83" s="226"/>
    </row>
    <row r="99" spans="1:23" x14ac:dyDescent="0.2">
      <c r="A99" s="157" t="str">
        <f>'RND 2 MP'!A56</f>
        <v>BELLIS</v>
      </c>
      <c r="B99" s="158">
        <f>'RND 2 MP'!B56</f>
        <v>18</v>
      </c>
      <c r="C99" s="158"/>
      <c r="D99" s="158"/>
      <c r="E99" s="158">
        <f>'RND 2 MP'!C56</f>
        <v>0</v>
      </c>
      <c r="F99" s="158">
        <f>'RND 2 MP'!D56</f>
        <v>3</v>
      </c>
      <c r="G99" s="158">
        <f>'RND 2 MP'!E56</f>
        <v>0</v>
      </c>
      <c r="H99" s="158">
        <f>'RND 2 MP'!F56</f>
        <v>0</v>
      </c>
      <c r="I99" s="158">
        <f>'RND 2 MP'!G56</f>
        <v>0</v>
      </c>
      <c r="J99" s="158">
        <f>'RND 2 MP'!H56</f>
        <v>0</v>
      </c>
      <c r="K99" s="158">
        <f>'RND 2 MP'!I56</f>
        <v>0</v>
      </c>
      <c r="L99" s="158">
        <f>'RND 2 MP'!J56</f>
        <v>0</v>
      </c>
      <c r="M99" s="158">
        <f>'RND 2 MP'!K56</f>
        <v>2</v>
      </c>
      <c r="N99" s="158">
        <f>'RND 2 MP'!L56</f>
        <v>0</v>
      </c>
      <c r="O99" s="158">
        <f>'RND 2 MP'!M56</f>
        <v>0</v>
      </c>
      <c r="P99" s="158">
        <f>'RND 2 MP'!N56</f>
        <v>0</v>
      </c>
      <c r="Q99" s="158">
        <f>'RND 2 MP'!O56</f>
        <v>0</v>
      </c>
      <c r="R99" s="158">
        <f>'RND 2 MP'!P56</f>
        <v>0</v>
      </c>
      <c r="S99" s="158">
        <f>'RND 2 MP'!Q56</f>
        <v>0</v>
      </c>
      <c r="T99" s="158">
        <f>'RND 2 MP'!R56</f>
        <v>0</v>
      </c>
      <c r="U99" s="158">
        <f>'RND 2 MP'!S56</f>
        <v>0</v>
      </c>
      <c r="V99" s="158">
        <f>'RND 2 MP'!T56</f>
        <v>0</v>
      </c>
      <c r="W99" s="4"/>
    </row>
    <row r="100" spans="1:23" x14ac:dyDescent="0.2">
      <c r="A100" s="159" t="str">
        <f>'RND 2 MP'!A57</f>
        <v>DEY</v>
      </c>
      <c r="B100">
        <f>'RND 2 MP'!B57</f>
        <v>18</v>
      </c>
      <c r="E100">
        <f>'RND 2 MP'!C57</f>
        <v>1</v>
      </c>
      <c r="F100">
        <f>'RND 2 MP'!D57</f>
        <v>0</v>
      </c>
      <c r="G100">
        <f>'RND 2 MP'!E57</f>
        <v>0</v>
      </c>
      <c r="H100">
        <f>'RND 2 MP'!F57</f>
        <v>0</v>
      </c>
      <c r="I100">
        <f>'RND 2 MP'!G57</f>
        <v>0</v>
      </c>
      <c r="J100">
        <f>'RND 2 MP'!H57</f>
        <v>3</v>
      </c>
      <c r="K100">
        <f>'RND 2 MP'!I57</f>
        <v>3</v>
      </c>
      <c r="L100">
        <f>'RND 2 MP'!J57</f>
        <v>3</v>
      </c>
      <c r="M100">
        <f>'RND 2 MP'!K57</f>
        <v>0</v>
      </c>
      <c r="N100">
        <f>'RND 2 MP'!L57</f>
        <v>0</v>
      </c>
      <c r="O100">
        <f>'RND 2 MP'!M57</f>
        <v>0</v>
      </c>
      <c r="P100">
        <f>'RND 2 MP'!N57</f>
        <v>0</v>
      </c>
      <c r="Q100">
        <f>'RND 2 MP'!O57</f>
        <v>0</v>
      </c>
      <c r="R100">
        <f>'RND 2 MP'!P57</f>
        <v>0</v>
      </c>
      <c r="S100">
        <f>'RND 2 MP'!Q57</f>
        <v>0</v>
      </c>
      <c r="T100">
        <f>'RND 2 MP'!R57</f>
        <v>0</v>
      </c>
      <c r="U100">
        <f>'RND 2 MP'!S57</f>
        <v>0</v>
      </c>
      <c r="V100">
        <f>'RND 2 MP'!T57</f>
        <v>0</v>
      </c>
      <c r="W100" s="9"/>
    </row>
    <row r="101" spans="1:23" x14ac:dyDescent="0.2">
      <c r="A101" s="159" t="str">
        <f>'RND 2 MP'!A58</f>
        <v>DONOVAN</v>
      </c>
      <c r="B101">
        <f>'RND 2 MP'!B58</f>
        <v>18</v>
      </c>
      <c r="E101">
        <f>'RND 2 MP'!C58</f>
        <v>2</v>
      </c>
      <c r="F101">
        <f>'RND 2 MP'!D58</f>
        <v>0</v>
      </c>
      <c r="G101">
        <f>'RND 2 MP'!E58</f>
        <v>3</v>
      </c>
      <c r="H101">
        <f>'RND 2 MP'!F58</f>
        <v>3</v>
      </c>
      <c r="I101">
        <f>'RND 2 MP'!G58</f>
        <v>1</v>
      </c>
      <c r="J101">
        <f>'RND 2 MP'!H58</f>
        <v>1</v>
      </c>
      <c r="K101">
        <f>'RND 2 MP'!I58</f>
        <v>1</v>
      </c>
      <c r="L101">
        <f>'RND 2 MP'!J58</f>
        <v>1</v>
      </c>
      <c r="M101">
        <f>'RND 2 MP'!K58</f>
        <v>1</v>
      </c>
      <c r="N101">
        <f>'RND 2 MP'!L58</f>
        <v>2</v>
      </c>
      <c r="O101">
        <f>'RND 2 MP'!M58</f>
        <v>2</v>
      </c>
      <c r="P101">
        <f>'RND 2 MP'!N58</f>
        <v>2</v>
      </c>
      <c r="Q101">
        <f>'RND 2 MP'!O58</f>
        <v>2</v>
      </c>
      <c r="R101">
        <f>'RND 2 MP'!P58</f>
        <v>2</v>
      </c>
      <c r="S101">
        <f>'RND 2 MP'!Q58</f>
        <v>3</v>
      </c>
      <c r="T101">
        <f>'RND 2 MP'!R58</f>
        <v>3</v>
      </c>
      <c r="U101">
        <f>'RND 2 MP'!S58</f>
        <v>3</v>
      </c>
      <c r="V101">
        <f>'RND 2 MP'!T58</f>
        <v>0</v>
      </c>
      <c r="W101" s="9"/>
    </row>
    <row r="102" spans="1:23" x14ac:dyDescent="0.2">
      <c r="A102" s="159" t="str">
        <f>'RND 2 MP'!A59</f>
        <v>FINDLAY</v>
      </c>
      <c r="B102">
        <f>'RND 2 MP'!B59</f>
        <v>18</v>
      </c>
      <c r="E102">
        <f>'RND 2 MP'!C59</f>
        <v>3</v>
      </c>
      <c r="F102">
        <f>'RND 2 MP'!D59</f>
        <v>2</v>
      </c>
      <c r="G102">
        <f>'RND 2 MP'!E59</f>
        <v>1</v>
      </c>
      <c r="H102">
        <f>'RND 2 MP'!F59</f>
        <v>2</v>
      </c>
      <c r="I102">
        <f>'RND 2 MP'!G59</f>
        <v>3</v>
      </c>
      <c r="J102">
        <f>'RND 2 MP'!H59</f>
        <v>2</v>
      </c>
      <c r="K102">
        <f>'RND 2 MP'!I59</f>
        <v>2</v>
      </c>
      <c r="L102">
        <f>'RND 2 MP'!J59</f>
        <v>3</v>
      </c>
      <c r="M102">
        <f>'RND 2 MP'!K59</f>
        <v>1</v>
      </c>
      <c r="N102">
        <f>'RND 2 MP'!L59</f>
        <v>3</v>
      </c>
      <c r="O102">
        <f>'RND 2 MP'!M59</f>
        <v>3</v>
      </c>
      <c r="P102">
        <f>'RND 2 MP'!N59</f>
        <v>3</v>
      </c>
      <c r="Q102">
        <f>'RND 2 MP'!O59</f>
        <v>3</v>
      </c>
      <c r="R102">
        <f>'RND 2 MP'!P59</f>
        <v>3</v>
      </c>
      <c r="S102">
        <f>'RND 2 MP'!Q59</f>
        <v>1</v>
      </c>
      <c r="T102">
        <f>'RND 2 MP'!R59</f>
        <v>2</v>
      </c>
      <c r="U102">
        <f>'RND 2 MP'!S59</f>
        <v>2</v>
      </c>
      <c r="V102">
        <f>'RND 2 MP'!T59</f>
        <v>0</v>
      </c>
      <c r="W102" s="9"/>
    </row>
    <row r="103" spans="1:23" x14ac:dyDescent="0.2">
      <c r="A103" s="159" t="str">
        <f>'RND 2 MP'!A60</f>
        <v>HOLLANDS</v>
      </c>
      <c r="B103">
        <f>'RND 2 MP'!B60</f>
        <v>18</v>
      </c>
      <c r="E103">
        <f>'RND 2 MP'!C60</f>
        <v>3</v>
      </c>
      <c r="F103">
        <f>'RND 2 MP'!D60</f>
        <v>2</v>
      </c>
      <c r="G103">
        <f>'RND 2 MP'!E60</f>
        <v>1</v>
      </c>
      <c r="H103">
        <f>'RND 2 MP'!F60</f>
        <v>2</v>
      </c>
      <c r="I103">
        <f>'RND 2 MP'!G60</f>
        <v>3</v>
      </c>
      <c r="J103">
        <f>'RND 2 MP'!H60</f>
        <v>2</v>
      </c>
      <c r="K103">
        <f>'RND 2 MP'!I60</f>
        <v>2</v>
      </c>
      <c r="L103">
        <f>'RND 2 MP'!J60</f>
        <v>3</v>
      </c>
      <c r="M103">
        <f>'RND 2 MP'!K60</f>
        <v>1</v>
      </c>
      <c r="N103">
        <f>'RND 2 MP'!L60</f>
        <v>3</v>
      </c>
      <c r="O103">
        <f>'RND 2 MP'!M60</f>
        <v>3</v>
      </c>
      <c r="P103">
        <f>'RND 2 MP'!N60</f>
        <v>3</v>
      </c>
      <c r="Q103">
        <f>'RND 2 MP'!O60</f>
        <v>3</v>
      </c>
      <c r="R103">
        <f>'RND 2 MP'!P60</f>
        <v>3</v>
      </c>
      <c r="S103">
        <f>'RND 2 MP'!Q60</f>
        <v>1</v>
      </c>
      <c r="T103">
        <f>'RND 2 MP'!R60</f>
        <v>2</v>
      </c>
      <c r="U103">
        <f>'RND 2 MP'!S60</f>
        <v>2</v>
      </c>
      <c r="V103">
        <f>'RND 2 MP'!T60</f>
        <v>0</v>
      </c>
      <c r="W103" s="9"/>
    </row>
    <row r="104" spans="1:23" x14ac:dyDescent="0.2">
      <c r="A104" s="159" t="str">
        <f>'RND 2 MP'!A61</f>
        <v>LAING</v>
      </c>
      <c r="B104">
        <f>'RND 2 MP'!B61</f>
        <v>18</v>
      </c>
      <c r="E104">
        <f>'RND 2 MP'!C61</f>
        <v>1</v>
      </c>
      <c r="F104">
        <f>'RND 2 MP'!D61</f>
        <v>0</v>
      </c>
      <c r="G104">
        <f>'RND 2 MP'!E61</f>
        <v>2</v>
      </c>
      <c r="H104">
        <f>'RND 2 MP'!F61</f>
        <v>1</v>
      </c>
      <c r="I104">
        <f>'RND 2 MP'!G61</f>
        <v>2</v>
      </c>
      <c r="J104">
        <f>'RND 2 MP'!H61</f>
        <v>1</v>
      </c>
      <c r="K104">
        <f>'RND 2 MP'!I61</f>
        <v>0</v>
      </c>
      <c r="L104">
        <f>'RND 2 MP'!J61</f>
        <v>2</v>
      </c>
      <c r="M104">
        <f>'RND 2 MP'!K61</f>
        <v>1</v>
      </c>
      <c r="N104">
        <f>'RND 2 MP'!L61</f>
        <v>1</v>
      </c>
      <c r="O104">
        <f>'RND 2 MP'!M61</f>
        <v>1</v>
      </c>
      <c r="P104">
        <f>'RND 2 MP'!N61</f>
        <v>1</v>
      </c>
      <c r="Q104">
        <f>'RND 2 MP'!O61</f>
        <v>1</v>
      </c>
      <c r="R104">
        <f>'RND 2 MP'!P61</f>
        <v>1</v>
      </c>
      <c r="S104">
        <f>'RND 2 MP'!Q61</f>
        <v>2</v>
      </c>
      <c r="T104">
        <f>'RND 2 MP'!R61</f>
        <v>2</v>
      </c>
      <c r="U104">
        <f>'RND 2 MP'!S61</f>
        <v>1</v>
      </c>
      <c r="V104">
        <f>'RND 2 MP'!T61</f>
        <v>1</v>
      </c>
      <c r="W104" s="9"/>
    </row>
    <row r="105" spans="1:23" x14ac:dyDescent="0.2">
      <c r="A105" s="159" t="str">
        <f>'RND 2 MP'!A62</f>
        <v>REILLY</v>
      </c>
      <c r="B105">
        <f>'RND 2 MP'!B62</f>
        <v>18</v>
      </c>
      <c r="E105">
        <f>'RND 2 MP'!C62</f>
        <v>1</v>
      </c>
      <c r="F105">
        <f>'RND 2 MP'!D62</f>
        <v>0</v>
      </c>
      <c r="G105">
        <f>'RND 2 MP'!E62</f>
        <v>0</v>
      </c>
      <c r="H105">
        <f>'RND 2 MP'!F62</f>
        <v>0</v>
      </c>
      <c r="I105">
        <f>'RND 2 MP'!G62</f>
        <v>0</v>
      </c>
      <c r="J105">
        <f>'RND 2 MP'!H62</f>
        <v>3</v>
      </c>
      <c r="K105">
        <f>'RND 2 MP'!I62</f>
        <v>3</v>
      </c>
      <c r="L105">
        <f>'RND 2 MP'!J62</f>
        <v>0</v>
      </c>
      <c r="M105">
        <f>'RND 2 MP'!K62</f>
        <v>0</v>
      </c>
      <c r="N105">
        <f>'RND 2 MP'!L62</f>
        <v>0</v>
      </c>
      <c r="O105">
        <f>'RND 2 MP'!M62</f>
        <v>0</v>
      </c>
      <c r="P105">
        <f>'RND 2 MP'!N62</f>
        <v>0</v>
      </c>
      <c r="Q105">
        <f>'RND 2 MP'!O62</f>
        <v>0</v>
      </c>
      <c r="R105">
        <f>'RND 2 MP'!P62</f>
        <v>0</v>
      </c>
      <c r="S105">
        <f>'RND 2 MP'!Q62</f>
        <v>0</v>
      </c>
      <c r="T105">
        <f>'RND 2 MP'!R62</f>
        <v>2</v>
      </c>
      <c r="U105">
        <f>'RND 2 MP'!S62</f>
        <v>1</v>
      </c>
      <c r="V105">
        <f>'RND 2 MP'!T62</f>
        <v>2</v>
      </c>
      <c r="W105" s="9"/>
    </row>
    <row r="106" spans="1:23" x14ac:dyDescent="0.2">
      <c r="A106" s="160" t="str">
        <f>'RND 2 MP'!A63</f>
        <v>STONES</v>
      </c>
      <c r="B106" s="161">
        <f>'RND 2 MP'!B63</f>
        <v>18</v>
      </c>
      <c r="C106" s="161"/>
      <c r="D106" s="161"/>
      <c r="E106" s="161">
        <f>'RND 2 MP'!C63</f>
        <v>1</v>
      </c>
      <c r="F106" s="161">
        <f>'RND 2 MP'!D63</f>
        <v>1</v>
      </c>
      <c r="G106" s="161">
        <f>'RND 2 MP'!E63</f>
        <v>0</v>
      </c>
      <c r="H106" s="161">
        <f>'RND 2 MP'!F63</f>
        <v>0</v>
      </c>
      <c r="I106" s="161">
        <f>'RND 2 MP'!G63</f>
        <v>0</v>
      </c>
      <c r="J106" s="161">
        <f>'RND 2 MP'!H63</f>
        <v>0</v>
      </c>
      <c r="K106" s="161">
        <f>'RND 2 MP'!I63</f>
        <v>0</v>
      </c>
      <c r="L106" s="161">
        <f>'RND 2 MP'!J63</f>
        <v>0</v>
      </c>
      <c r="M106" s="161">
        <f>'RND 2 MP'!K63</f>
        <v>3</v>
      </c>
      <c r="N106" s="161">
        <f>'RND 2 MP'!L63</f>
        <v>0</v>
      </c>
      <c r="O106" s="161">
        <f>'RND 2 MP'!M63</f>
        <v>0</v>
      </c>
      <c r="P106" s="161">
        <f>'RND 2 MP'!N63</f>
        <v>0</v>
      </c>
      <c r="Q106" s="161">
        <f>'RND 2 MP'!O63</f>
        <v>0</v>
      </c>
      <c r="R106" s="161">
        <f>'RND 2 MP'!P63</f>
        <v>0</v>
      </c>
      <c r="S106" s="161">
        <f>'RND 2 MP'!Q63</f>
        <v>0</v>
      </c>
      <c r="T106" s="161">
        <f>'RND 2 MP'!R63</f>
        <v>1</v>
      </c>
      <c r="U106" s="161">
        <f>'RND 2 MP'!S63</f>
        <v>1</v>
      </c>
      <c r="V106" s="161">
        <f>'RND 2 MP'!T63</f>
        <v>3</v>
      </c>
      <c r="W106" s="10"/>
    </row>
  </sheetData>
  <conditionalFormatting sqref="E58:V65">
    <cfRule type="expression" dxfId="12" priority="4">
      <formula>INDEX($E$99:$V$106, MATCH(E58, $A$99:$A$106, 0), COLUMN()-4)=1</formula>
    </cfRule>
    <cfRule type="expression" dxfId="11" priority="5">
      <formula>INDEX($E$99:$V$106, MATCH(E58, $A$99:$A$106, 0), COLUMN()-4)=3</formula>
    </cfRule>
    <cfRule type="expression" dxfId="10" priority="6">
      <formula>INDEX($E$99:$V$106, MATCH(E58, $A$99:$A$106, 0), COLUMN()-4)=2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FCE7-EE99-E34C-83E8-10F3E93DFA5B}">
  <dimension ref="A1:AG74"/>
  <sheetViews>
    <sheetView zoomScale="81" zoomScaleNormal="100" workbookViewId="0">
      <selection activeCell="W58" sqref="W58"/>
    </sheetView>
  </sheetViews>
  <sheetFormatPr baseColWidth="10" defaultRowHeight="15" x14ac:dyDescent="0.2"/>
  <cols>
    <col min="1" max="1" width="13.1640625" bestFit="1" customWidth="1"/>
    <col min="22" max="22" width="12.33203125" customWidth="1"/>
  </cols>
  <sheetData>
    <row r="1" spans="1:33" x14ac:dyDescent="0.2">
      <c r="A1" s="301" t="s">
        <v>107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Y1" s="295" t="s">
        <v>27</v>
      </c>
      <c r="Z1" s="296"/>
      <c r="AA1" s="296"/>
      <c r="AB1" s="296"/>
      <c r="AC1" s="296"/>
      <c r="AD1" s="296"/>
      <c r="AE1" s="296"/>
      <c r="AF1" s="296"/>
      <c r="AG1" s="297"/>
    </row>
    <row r="2" spans="1:33" x14ac:dyDescent="0.2">
      <c r="A2" s="303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Y2" s="298"/>
      <c r="Z2" s="299"/>
      <c r="AA2" s="299"/>
      <c r="AB2" s="299"/>
      <c r="AC2" s="299"/>
      <c r="AD2" s="299"/>
      <c r="AE2" s="299"/>
      <c r="AF2" s="299"/>
      <c r="AG2" s="300"/>
    </row>
    <row r="3" spans="1:33" x14ac:dyDescent="0.2">
      <c r="Y3" s="83"/>
      <c r="AG3" s="84"/>
    </row>
    <row r="4" spans="1:33" x14ac:dyDescent="0.2">
      <c r="A4" s="17" t="s">
        <v>1</v>
      </c>
      <c r="B4" s="18" t="s">
        <v>15</v>
      </c>
      <c r="C4" s="24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25">
        <v>15</v>
      </c>
      <c r="R4" s="25">
        <v>16</v>
      </c>
      <c r="S4" s="25">
        <v>17</v>
      </c>
      <c r="T4" s="25">
        <v>18</v>
      </c>
      <c r="U4" s="26" t="s">
        <v>2</v>
      </c>
      <c r="V4" s="31" t="s">
        <v>16</v>
      </c>
      <c r="Y4" s="116" t="str">
        <f t="shared" ref="Y4:Y11" si="0">A7</f>
        <v>BELLIS</v>
      </c>
      <c r="Z4" s="117">
        <f>U56</f>
        <v>5</v>
      </c>
      <c r="AA4" s="117">
        <f t="shared" ref="AA4:AA11" si="1">RANK(Z4,$Z$4:$Z$11,0)</f>
        <v>8</v>
      </c>
      <c r="AB4" s="117"/>
      <c r="AC4" s="117"/>
      <c r="AD4" s="117">
        <f t="shared" ref="AD4:AD11" si="2">IF(AA4=1,24,0)+(IF(AA4=2,21,0))+(IF(AA4=3,18,0))+(IF(AA4=4,15,0))+(IF(AA4=5,12,0))+(IF(AA4=6,9,0))+(IF(AA4=7,6,0))+(IF(AA4=8,3,0))</f>
        <v>3</v>
      </c>
      <c r="AE4" s="117">
        <f t="shared" ref="AE4:AE11" si="3">COUNTIF($AD$4:$AD$11,AD4)</f>
        <v>1</v>
      </c>
      <c r="AF4" s="117">
        <f t="shared" ref="AF4:AF11" si="4">SUMIF($AD$4:$AD$11,AD4)</f>
        <v>3</v>
      </c>
      <c r="AG4" s="118">
        <f>IF(AE4=3,AF4/3-3,0)+IF(AE4=2,AF4/2-1.5,0)+IF(AE4=1,AF4,0)+IF(AE4=4,AF4/4-4.5,0)+IF(AE4=5,AF4/5-6,0)+IF(AE4=6,AF4/6-7.5,0)+IF(AE4=7,AF4/7-9,0)+IF(AE4=8,AF4/8-10.5,0)</f>
        <v>3</v>
      </c>
    </row>
    <row r="5" spans="1:33" x14ac:dyDescent="0.2">
      <c r="A5" s="19"/>
      <c r="B5" s="20"/>
      <c r="C5" s="27">
        <v>4</v>
      </c>
      <c r="D5" s="27">
        <v>3</v>
      </c>
      <c r="E5" s="27">
        <v>4</v>
      </c>
      <c r="F5" s="27">
        <v>4</v>
      </c>
      <c r="G5" s="27">
        <v>4</v>
      </c>
      <c r="H5" s="27">
        <v>5</v>
      </c>
      <c r="I5" s="27">
        <v>3</v>
      </c>
      <c r="J5" s="27">
        <v>4</v>
      </c>
      <c r="K5" s="27">
        <v>5</v>
      </c>
      <c r="L5" s="27">
        <v>4</v>
      </c>
      <c r="M5" s="27">
        <v>5</v>
      </c>
      <c r="N5" s="27">
        <v>4</v>
      </c>
      <c r="O5" s="27">
        <v>4</v>
      </c>
      <c r="P5" s="27">
        <v>3</v>
      </c>
      <c r="Q5" s="27">
        <v>5</v>
      </c>
      <c r="R5" s="27">
        <v>4</v>
      </c>
      <c r="S5" s="27">
        <v>3</v>
      </c>
      <c r="T5" s="27">
        <v>4</v>
      </c>
      <c r="U5" s="20"/>
      <c r="Y5" s="119" t="str">
        <f t="shared" si="0"/>
        <v>DEY</v>
      </c>
      <c r="Z5" s="120">
        <f t="shared" ref="Z5:Z11" si="5">U57</f>
        <v>10</v>
      </c>
      <c r="AA5" s="120">
        <f t="shared" si="1"/>
        <v>6</v>
      </c>
      <c r="AB5" s="120"/>
      <c r="AC5" s="120"/>
      <c r="AD5" s="120">
        <f t="shared" si="2"/>
        <v>9</v>
      </c>
      <c r="AE5" s="120">
        <f t="shared" si="3"/>
        <v>2</v>
      </c>
      <c r="AF5" s="120">
        <f t="shared" si="4"/>
        <v>18</v>
      </c>
      <c r="AG5" s="121">
        <f t="shared" ref="AG5:AG11" si="6">IF(AE5=3,AF5/3-3,0)+IF(AE5=2,AF5/2-1.5,0)+IF(AE5=1,AF5,0)+IF(AE5=4,AF5/4-4.5,0)+IF(AE5=5,AF5/5-6,0)+IF(AE5=6,AF5/6-7.5,0)+IF(AE5=7,AF5/7-9,0)+IF(AE5=8,AF5/8-10.5,0)</f>
        <v>7.5</v>
      </c>
    </row>
    <row r="6" spans="1:33" x14ac:dyDescent="0.2">
      <c r="A6" s="19"/>
      <c r="B6" s="20"/>
      <c r="C6" s="28">
        <v>16</v>
      </c>
      <c r="D6" s="28">
        <v>8</v>
      </c>
      <c r="E6" s="28">
        <v>2</v>
      </c>
      <c r="F6" s="28">
        <v>18</v>
      </c>
      <c r="G6" s="28">
        <v>4</v>
      </c>
      <c r="H6" s="28">
        <v>12</v>
      </c>
      <c r="I6" s="28">
        <v>6</v>
      </c>
      <c r="J6" s="28">
        <v>10</v>
      </c>
      <c r="K6" s="28">
        <v>14</v>
      </c>
      <c r="L6" s="28">
        <v>11</v>
      </c>
      <c r="M6" s="28">
        <v>1</v>
      </c>
      <c r="N6" s="28">
        <v>5</v>
      </c>
      <c r="O6" s="28">
        <v>15</v>
      </c>
      <c r="P6" s="28">
        <v>13</v>
      </c>
      <c r="Q6" s="28">
        <v>7</v>
      </c>
      <c r="R6" s="28">
        <v>17</v>
      </c>
      <c r="S6" s="28">
        <v>3</v>
      </c>
      <c r="T6" s="28">
        <v>9</v>
      </c>
      <c r="U6" s="29"/>
      <c r="Y6" s="119" t="str">
        <f t="shared" si="0"/>
        <v>DONOVAN</v>
      </c>
      <c r="Z6" s="120">
        <f t="shared" si="5"/>
        <v>32</v>
      </c>
      <c r="AA6" s="120">
        <f t="shared" si="1"/>
        <v>3</v>
      </c>
      <c r="AB6" s="120"/>
      <c r="AC6" s="120"/>
      <c r="AD6" s="120">
        <f t="shared" si="2"/>
        <v>18</v>
      </c>
      <c r="AE6" s="120">
        <f t="shared" si="3"/>
        <v>1</v>
      </c>
      <c r="AF6" s="120">
        <f t="shared" si="4"/>
        <v>18</v>
      </c>
      <c r="AG6" s="121">
        <f t="shared" si="6"/>
        <v>18</v>
      </c>
    </row>
    <row r="7" spans="1:33" x14ac:dyDescent="0.2">
      <c r="A7" s="19" t="s">
        <v>3</v>
      </c>
      <c r="B7" s="114">
        <v>18</v>
      </c>
      <c r="C7" s="112">
        <v>8</v>
      </c>
      <c r="D7" s="112">
        <v>2</v>
      </c>
      <c r="E7" s="112">
        <v>8</v>
      </c>
      <c r="F7" s="112">
        <v>8</v>
      </c>
      <c r="G7" s="112">
        <v>8</v>
      </c>
      <c r="H7" s="112">
        <v>8</v>
      </c>
      <c r="I7" s="112">
        <v>8</v>
      </c>
      <c r="J7" s="112">
        <v>8</v>
      </c>
      <c r="K7" s="112">
        <v>2</v>
      </c>
      <c r="L7" s="112">
        <v>8</v>
      </c>
      <c r="M7" s="112">
        <v>8</v>
      </c>
      <c r="N7" s="112">
        <v>8</v>
      </c>
      <c r="O7" s="112">
        <v>8</v>
      </c>
      <c r="P7" s="112">
        <v>8</v>
      </c>
      <c r="Q7" s="112">
        <v>8</v>
      </c>
      <c r="R7" s="112">
        <v>8</v>
      </c>
      <c r="S7" s="112">
        <v>8</v>
      </c>
      <c r="T7" s="112">
        <v>9</v>
      </c>
      <c r="U7" s="8">
        <f>SUM(C7:T7)</f>
        <v>133</v>
      </c>
      <c r="Y7" s="119" t="str">
        <f t="shared" si="0"/>
        <v>FINDLAY</v>
      </c>
      <c r="Z7" s="120">
        <f t="shared" si="5"/>
        <v>39</v>
      </c>
      <c r="AA7" s="120">
        <f t="shared" si="1"/>
        <v>1</v>
      </c>
      <c r="AB7" s="120"/>
      <c r="AC7" s="120"/>
      <c r="AD7" s="120">
        <f t="shared" si="2"/>
        <v>24</v>
      </c>
      <c r="AE7" s="120">
        <f t="shared" si="3"/>
        <v>2</v>
      </c>
      <c r="AF7" s="120">
        <f t="shared" si="4"/>
        <v>48</v>
      </c>
      <c r="AG7" s="121">
        <f t="shared" si="6"/>
        <v>22.5</v>
      </c>
    </row>
    <row r="8" spans="1:33" x14ac:dyDescent="0.2">
      <c r="A8" s="19" t="s">
        <v>4</v>
      </c>
      <c r="B8" s="114">
        <v>18</v>
      </c>
      <c r="C8" s="112">
        <v>7</v>
      </c>
      <c r="D8" s="112">
        <v>7</v>
      </c>
      <c r="E8" s="112">
        <v>7</v>
      </c>
      <c r="F8" s="112">
        <v>7</v>
      </c>
      <c r="G8" s="112">
        <v>7</v>
      </c>
      <c r="H8" s="112">
        <v>1</v>
      </c>
      <c r="I8" s="112">
        <v>1</v>
      </c>
      <c r="J8" s="112">
        <v>1</v>
      </c>
      <c r="K8" s="112">
        <v>9</v>
      </c>
      <c r="L8" s="112">
        <v>9</v>
      </c>
      <c r="M8" s="112">
        <v>9</v>
      </c>
      <c r="N8" s="112">
        <v>9</v>
      </c>
      <c r="O8" s="112">
        <v>9</v>
      </c>
      <c r="P8" s="112">
        <v>9</v>
      </c>
      <c r="Q8" s="112">
        <v>9</v>
      </c>
      <c r="R8" s="112">
        <v>9</v>
      </c>
      <c r="S8" s="112">
        <v>9</v>
      </c>
      <c r="T8" s="112">
        <v>9</v>
      </c>
      <c r="U8" s="8">
        <f t="shared" ref="U8:U14" si="7">SUM(C8:T8)</f>
        <v>128</v>
      </c>
      <c r="Y8" s="119" t="str">
        <f t="shared" si="0"/>
        <v>HOLLANDS</v>
      </c>
      <c r="Z8" s="120">
        <f t="shared" si="5"/>
        <v>39</v>
      </c>
      <c r="AA8" s="120">
        <f t="shared" si="1"/>
        <v>1</v>
      </c>
      <c r="AB8" s="120"/>
      <c r="AC8" s="120"/>
      <c r="AD8" s="120">
        <f t="shared" si="2"/>
        <v>24</v>
      </c>
      <c r="AE8" s="120">
        <f t="shared" si="3"/>
        <v>2</v>
      </c>
      <c r="AF8" s="120">
        <f t="shared" si="4"/>
        <v>48</v>
      </c>
      <c r="AG8" s="121">
        <f t="shared" si="6"/>
        <v>22.5</v>
      </c>
    </row>
    <row r="9" spans="1:33" x14ac:dyDescent="0.2">
      <c r="A9" s="19" t="s">
        <v>5</v>
      </c>
      <c r="B9" s="114">
        <v>18</v>
      </c>
      <c r="C9" s="112">
        <v>4</v>
      </c>
      <c r="D9" s="112">
        <v>9</v>
      </c>
      <c r="E9" s="112">
        <v>3</v>
      </c>
      <c r="F9" s="112">
        <v>2</v>
      </c>
      <c r="G9" s="112">
        <v>4</v>
      </c>
      <c r="H9" s="112">
        <v>4</v>
      </c>
      <c r="I9" s="112">
        <v>4</v>
      </c>
      <c r="J9" s="112">
        <v>4</v>
      </c>
      <c r="K9" s="112">
        <v>4</v>
      </c>
      <c r="L9" s="112">
        <v>4</v>
      </c>
      <c r="M9" s="112">
        <v>4</v>
      </c>
      <c r="N9" s="112">
        <v>4</v>
      </c>
      <c r="O9" s="112">
        <v>4</v>
      </c>
      <c r="P9" s="112">
        <v>4</v>
      </c>
      <c r="Q9" s="112">
        <v>4</v>
      </c>
      <c r="R9" s="112">
        <v>4</v>
      </c>
      <c r="S9" s="112">
        <v>4</v>
      </c>
      <c r="T9" s="112">
        <v>8</v>
      </c>
      <c r="U9" s="8">
        <f t="shared" si="7"/>
        <v>78</v>
      </c>
      <c r="Y9" s="119" t="str">
        <f t="shared" si="0"/>
        <v>LAING</v>
      </c>
      <c r="Z9" s="120">
        <f t="shared" si="5"/>
        <v>21</v>
      </c>
      <c r="AA9" s="120">
        <f t="shared" si="1"/>
        <v>4</v>
      </c>
      <c r="AB9" s="120"/>
      <c r="AC9" s="120"/>
      <c r="AD9" s="120">
        <f t="shared" si="2"/>
        <v>15</v>
      </c>
      <c r="AE9" s="120">
        <f t="shared" si="3"/>
        <v>1</v>
      </c>
      <c r="AF9" s="120">
        <f t="shared" si="4"/>
        <v>15</v>
      </c>
      <c r="AG9" s="121">
        <f t="shared" si="6"/>
        <v>15</v>
      </c>
    </row>
    <row r="10" spans="1:33" x14ac:dyDescent="0.2">
      <c r="A10" s="19" t="s">
        <v>6</v>
      </c>
      <c r="B10" s="114">
        <v>18</v>
      </c>
      <c r="C10" s="112">
        <v>2</v>
      </c>
      <c r="D10" s="112">
        <v>3</v>
      </c>
      <c r="E10" s="112">
        <v>6</v>
      </c>
      <c r="F10" s="112">
        <v>3</v>
      </c>
      <c r="G10" s="112">
        <v>2</v>
      </c>
      <c r="H10" s="112">
        <v>2</v>
      </c>
      <c r="I10" s="112">
        <v>2</v>
      </c>
      <c r="J10" s="112">
        <v>1</v>
      </c>
      <c r="K10" s="112">
        <v>4</v>
      </c>
      <c r="L10" s="112">
        <v>2</v>
      </c>
      <c r="M10" s="112">
        <v>2</v>
      </c>
      <c r="N10" s="112">
        <v>2</v>
      </c>
      <c r="O10" s="112">
        <v>2</v>
      </c>
      <c r="P10" s="112">
        <v>2</v>
      </c>
      <c r="Q10" s="112">
        <v>6</v>
      </c>
      <c r="R10" s="112">
        <v>6</v>
      </c>
      <c r="S10" s="112">
        <v>6</v>
      </c>
      <c r="T10" s="112">
        <v>7</v>
      </c>
      <c r="U10" s="8">
        <f t="shared" si="7"/>
        <v>60</v>
      </c>
      <c r="Y10" s="119" t="str">
        <f t="shared" si="0"/>
        <v>REILLY</v>
      </c>
      <c r="Z10" s="120">
        <f t="shared" si="5"/>
        <v>12</v>
      </c>
      <c r="AA10" s="120">
        <f t="shared" si="1"/>
        <v>5</v>
      </c>
      <c r="AB10" s="120"/>
      <c r="AC10" s="120"/>
      <c r="AD10" s="120">
        <f t="shared" si="2"/>
        <v>12</v>
      </c>
      <c r="AE10" s="120">
        <f t="shared" si="3"/>
        <v>1</v>
      </c>
      <c r="AF10" s="120">
        <f t="shared" si="4"/>
        <v>12</v>
      </c>
      <c r="AG10" s="121">
        <f t="shared" si="6"/>
        <v>12</v>
      </c>
    </row>
    <row r="11" spans="1:33" x14ac:dyDescent="0.2">
      <c r="A11" s="19" t="s">
        <v>7</v>
      </c>
      <c r="B11" s="114">
        <v>18</v>
      </c>
      <c r="C11" s="112">
        <v>2</v>
      </c>
      <c r="D11" s="112">
        <v>3</v>
      </c>
      <c r="E11" s="112">
        <v>6</v>
      </c>
      <c r="F11" s="112">
        <v>3</v>
      </c>
      <c r="G11" s="112">
        <v>2</v>
      </c>
      <c r="H11" s="112">
        <v>2</v>
      </c>
      <c r="I11" s="112">
        <v>2</v>
      </c>
      <c r="J11" s="112">
        <v>1</v>
      </c>
      <c r="K11" s="112">
        <v>4</v>
      </c>
      <c r="L11" s="112">
        <v>2</v>
      </c>
      <c r="M11" s="112">
        <v>2</v>
      </c>
      <c r="N11" s="112">
        <v>2</v>
      </c>
      <c r="O11" s="112">
        <v>2</v>
      </c>
      <c r="P11" s="112">
        <v>2</v>
      </c>
      <c r="Q11" s="112">
        <v>6</v>
      </c>
      <c r="R11" s="112">
        <v>6</v>
      </c>
      <c r="S11" s="112">
        <v>6</v>
      </c>
      <c r="T11" s="112">
        <v>7</v>
      </c>
      <c r="U11" s="8">
        <f t="shared" si="7"/>
        <v>60</v>
      </c>
      <c r="Y11" s="122" t="str">
        <f t="shared" si="0"/>
        <v>STONES</v>
      </c>
      <c r="Z11" s="123">
        <f t="shared" si="5"/>
        <v>10</v>
      </c>
      <c r="AA11" s="123">
        <f t="shared" si="1"/>
        <v>6</v>
      </c>
      <c r="AB11" s="123"/>
      <c r="AC11" s="123"/>
      <c r="AD11" s="123">
        <f t="shared" si="2"/>
        <v>9</v>
      </c>
      <c r="AE11" s="123">
        <f t="shared" si="3"/>
        <v>2</v>
      </c>
      <c r="AF11" s="123">
        <f t="shared" si="4"/>
        <v>18</v>
      </c>
      <c r="AG11" s="124">
        <f t="shared" si="6"/>
        <v>7.5</v>
      </c>
    </row>
    <row r="12" spans="1:33" x14ac:dyDescent="0.2">
      <c r="A12" s="19" t="s">
        <v>8</v>
      </c>
      <c r="B12" s="114">
        <v>18</v>
      </c>
      <c r="C12" s="112">
        <v>7</v>
      </c>
      <c r="D12" s="112">
        <v>6</v>
      </c>
      <c r="E12" s="112">
        <v>4</v>
      </c>
      <c r="F12" s="112">
        <v>4</v>
      </c>
      <c r="G12" s="112">
        <v>3</v>
      </c>
      <c r="H12" s="112">
        <v>4</v>
      </c>
      <c r="I12" s="112">
        <v>7</v>
      </c>
      <c r="J12" s="112">
        <v>2</v>
      </c>
      <c r="K12" s="112">
        <v>4</v>
      </c>
      <c r="L12" s="112">
        <v>5</v>
      </c>
      <c r="M12" s="112">
        <v>5</v>
      </c>
      <c r="N12" s="112">
        <v>5</v>
      </c>
      <c r="O12" s="112">
        <v>5</v>
      </c>
      <c r="P12" s="112">
        <v>5</v>
      </c>
      <c r="Q12" s="112">
        <v>5</v>
      </c>
      <c r="R12" s="112">
        <v>6</v>
      </c>
      <c r="S12" s="112">
        <v>7</v>
      </c>
      <c r="T12" s="112">
        <v>6</v>
      </c>
      <c r="U12" s="8">
        <f t="shared" si="7"/>
        <v>90</v>
      </c>
      <c r="Y12" s="83"/>
      <c r="AG12" s="84"/>
    </row>
    <row r="13" spans="1:33" x14ac:dyDescent="0.2">
      <c r="A13" s="19" t="s">
        <v>9</v>
      </c>
      <c r="B13" s="114">
        <v>18</v>
      </c>
      <c r="C13" s="112">
        <v>7</v>
      </c>
      <c r="D13" s="112">
        <v>5</v>
      </c>
      <c r="E13" s="112">
        <v>7</v>
      </c>
      <c r="F13" s="112">
        <v>7</v>
      </c>
      <c r="G13" s="112">
        <v>7</v>
      </c>
      <c r="H13" s="112">
        <v>1</v>
      </c>
      <c r="I13" s="112">
        <v>1</v>
      </c>
      <c r="J13" s="112">
        <v>7</v>
      </c>
      <c r="K13" s="112">
        <v>7</v>
      </c>
      <c r="L13" s="112">
        <v>7</v>
      </c>
      <c r="M13" s="112">
        <v>7</v>
      </c>
      <c r="N13" s="112">
        <v>7</v>
      </c>
      <c r="O13" s="112">
        <v>7</v>
      </c>
      <c r="P13" s="112">
        <v>7</v>
      </c>
      <c r="Q13" s="112">
        <v>7</v>
      </c>
      <c r="R13" s="112">
        <v>6</v>
      </c>
      <c r="S13" s="112">
        <v>7</v>
      </c>
      <c r="T13" s="112">
        <v>5</v>
      </c>
      <c r="U13" s="8">
        <f t="shared" si="7"/>
        <v>109</v>
      </c>
      <c r="Y13" s="83"/>
      <c r="AG13" s="84"/>
    </row>
    <row r="14" spans="1:33" x14ac:dyDescent="0.2">
      <c r="A14" s="22" t="s">
        <v>10</v>
      </c>
      <c r="B14" s="115">
        <v>18</v>
      </c>
      <c r="C14" s="113">
        <v>7</v>
      </c>
      <c r="D14" s="113">
        <v>4</v>
      </c>
      <c r="E14" s="113">
        <v>7</v>
      </c>
      <c r="F14" s="113">
        <v>7</v>
      </c>
      <c r="G14" s="113">
        <v>7</v>
      </c>
      <c r="H14" s="113">
        <v>7</v>
      </c>
      <c r="I14" s="113">
        <v>7</v>
      </c>
      <c r="J14" s="113">
        <v>7</v>
      </c>
      <c r="K14" s="113">
        <v>1</v>
      </c>
      <c r="L14" s="113">
        <v>7</v>
      </c>
      <c r="M14" s="113">
        <v>7</v>
      </c>
      <c r="N14" s="113">
        <v>7</v>
      </c>
      <c r="O14" s="113">
        <v>7</v>
      </c>
      <c r="P14" s="113">
        <v>7</v>
      </c>
      <c r="Q14" s="113">
        <v>7</v>
      </c>
      <c r="R14" s="113">
        <v>7</v>
      </c>
      <c r="S14" s="113">
        <v>7</v>
      </c>
      <c r="T14" s="113">
        <v>4</v>
      </c>
      <c r="U14" s="7">
        <f t="shared" si="7"/>
        <v>114</v>
      </c>
      <c r="Y14" s="116" t="str">
        <f t="shared" ref="Y14:Z21" si="8">Y4</f>
        <v>BELLIS</v>
      </c>
      <c r="Z14" s="117">
        <f t="shared" si="8"/>
        <v>5</v>
      </c>
      <c r="AA14" s="117">
        <f t="shared" ref="AA14:AA21" si="9">AG4</f>
        <v>3</v>
      </c>
      <c r="AB14" s="117">
        <f>RANK(Z14,$Z$14:$Z$21,0)+COUNTIF($Z$14:Z14,Z14)-1</f>
        <v>8</v>
      </c>
      <c r="AC14" s="118"/>
      <c r="AD14" s="103">
        <v>1</v>
      </c>
      <c r="AE14" s="104" t="str">
        <f t="shared" ref="AE14:AE21" si="10">INDEX($Y$14:$AB$21,MATCH(AD14,$AB$14:$AB$21,0),1)</f>
        <v>FINDLAY</v>
      </c>
      <c r="AF14" s="104">
        <f t="shared" ref="AF14:AF21" si="11">INDEX($Y$14:$AB$21,MATCH(AD14,$AB$14:$AB$21,0),2)</f>
        <v>39</v>
      </c>
      <c r="AG14" s="105">
        <f t="shared" ref="AG14:AG21" si="12">INDEX($Y$14:$AB$21,MATCH(AD14,$AB$14:$AB$21,0),3)</f>
        <v>22.5</v>
      </c>
    </row>
    <row r="15" spans="1:33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Y15" s="119" t="str">
        <f t="shared" si="8"/>
        <v>DEY</v>
      </c>
      <c r="Z15" s="120">
        <f t="shared" si="8"/>
        <v>10</v>
      </c>
      <c r="AA15" s="120">
        <f t="shared" si="9"/>
        <v>7.5</v>
      </c>
      <c r="AB15" s="120">
        <f>RANK(Z15,$Z$14:$Z$21,0)+COUNTIF($Z$14:Z15,Z15)-1</f>
        <v>6</v>
      </c>
      <c r="AC15" s="121"/>
      <c r="AD15" s="106">
        <v>2</v>
      </c>
      <c r="AE15" s="12" t="str">
        <f t="shared" si="10"/>
        <v>HOLLANDS</v>
      </c>
      <c r="AF15" s="12">
        <f t="shared" si="11"/>
        <v>39</v>
      </c>
      <c r="AG15" s="107">
        <f t="shared" si="12"/>
        <v>22.5</v>
      </c>
    </row>
    <row r="16" spans="1:33" x14ac:dyDescent="0.2">
      <c r="A16" s="17"/>
      <c r="B16" s="30"/>
      <c r="C16" s="25">
        <f>C4</f>
        <v>1</v>
      </c>
      <c r="D16" s="25">
        <f t="shared" ref="D16:T18" si="13">D4</f>
        <v>2</v>
      </c>
      <c r="E16" s="25">
        <f t="shared" si="13"/>
        <v>3</v>
      </c>
      <c r="F16" s="25">
        <f t="shared" si="13"/>
        <v>4</v>
      </c>
      <c r="G16" s="25">
        <f t="shared" si="13"/>
        <v>5</v>
      </c>
      <c r="H16" s="25">
        <f t="shared" si="13"/>
        <v>6</v>
      </c>
      <c r="I16" s="25">
        <f t="shared" si="13"/>
        <v>7</v>
      </c>
      <c r="J16" s="25">
        <f t="shared" si="13"/>
        <v>8</v>
      </c>
      <c r="K16" s="25">
        <f t="shared" si="13"/>
        <v>9</v>
      </c>
      <c r="L16" s="25">
        <f t="shared" si="13"/>
        <v>10</v>
      </c>
      <c r="M16" s="25">
        <f t="shared" si="13"/>
        <v>11</v>
      </c>
      <c r="N16" s="25">
        <f t="shared" si="13"/>
        <v>12</v>
      </c>
      <c r="O16" s="25">
        <f t="shared" si="13"/>
        <v>13</v>
      </c>
      <c r="P16" s="25">
        <f t="shared" si="13"/>
        <v>14</v>
      </c>
      <c r="Q16" s="25">
        <f t="shared" si="13"/>
        <v>15</v>
      </c>
      <c r="R16" s="25">
        <f t="shared" si="13"/>
        <v>16</v>
      </c>
      <c r="S16" s="25">
        <f t="shared" si="13"/>
        <v>17</v>
      </c>
      <c r="T16" s="25">
        <f t="shared" si="13"/>
        <v>18</v>
      </c>
      <c r="U16" s="26" t="s">
        <v>2</v>
      </c>
      <c r="V16" s="31" t="s">
        <v>17</v>
      </c>
      <c r="Y16" s="119" t="str">
        <f t="shared" si="8"/>
        <v>DONOVAN</v>
      </c>
      <c r="Z16" s="120">
        <f t="shared" si="8"/>
        <v>32</v>
      </c>
      <c r="AA16" s="120">
        <f t="shared" si="9"/>
        <v>18</v>
      </c>
      <c r="AB16" s="120">
        <f>RANK(Z16,$Z$14:$Z$21,0)+COUNTIF($Z$14:Z16,Z16)-1</f>
        <v>3</v>
      </c>
      <c r="AC16" s="121"/>
      <c r="AD16" s="106">
        <v>3</v>
      </c>
      <c r="AE16" s="12" t="str">
        <f t="shared" si="10"/>
        <v>DONOVAN</v>
      </c>
      <c r="AF16" s="12">
        <f t="shared" si="11"/>
        <v>32</v>
      </c>
      <c r="AG16" s="107">
        <f t="shared" si="12"/>
        <v>18</v>
      </c>
    </row>
    <row r="17" spans="1:33" x14ac:dyDescent="0.2">
      <c r="A17" s="19"/>
      <c r="B17" s="20"/>
      <c r="C17" s="27">
        <f t="shared" ref="C17:R18" si="14">C5</f>
        <v>4</v>
      </c>
      <c r="D17" s="27">
        <f t="shared" si="14"/>
        <v>3</v>
      </c>
      <c r="E17" s="27">
        <f t="shared" si="14"/>
        <v>4</v>
      </c>
      <c r="F17" s="27">
        <f t="shared" si="14"/>
        <v>4</v>
      </c>
      <c r="G17" s="27">
        <f t="shared" si="14"/>
        <v>4</v>
      </c>
      <c r="H17" s="27">
        <f t="shared" si="14"/>
        <v>5</v>
      </c>
      <c r="I17" s="27">
        <f t="shared" si="14"/>
        <v>3</v>
      </c>
      <c r="J17" s="27">
        <f t="shared" si="14"/>
        <v>4</v>
      </c>
      <c r="K17" s="27">
        <f t="shared" si="14"/>
        <v>5</v>
      </c>
      <c r="L17" s="27">
        <f t="shared" si="14"/>
        <v>4</v>
      </c>
      <c r="M17" s="27">
        <f t="shared" si="14"/>
        <v>5</v>
      </c>
      <c r="N17" s="27">
        <f t="shared" si="14"/>
        <v>4</v>
      </c>
      <c r="O17" s="27">
        <f t="shared" si="14"/>
        <v>4</v>
      </c>
      <c r="P17" s="27">
        <f t="shared" si="14"/>
        <v>3</v>
      </c>
      <c r="Q17" s="27">
        <f t="shared" si="14"/>
        <v>5</v>
      </c>
      <c r="R17" s="27">
        <f t="shared" si="14"/>
        <v>4</v>
      </c>
      <c r="S17" s="27">
        <f t="shared" si="13"/>
        <v>3</v>
      </c>
      <c r="T17" s="27">
        <f t="shared" si="13"/>
        <v>4</v>
      </c>
      <c r="U17" s="20"/>
      <c r="Y17" s="119" t="str">
        <f t="shared" si="8"/>
        <v>FINDLAY</v>
      </c>
      <c r="Z17" s="120">
        <f t="shared" si="8"/>
        <v>39</v>
      </c>
      <c r="AA17" s="120">
        <f t="shared" si="9"/>
        <v>22.5</v>
      </c>
      <c r="AB17" s="120">
        <f>RANK(Z17,$Z$14:$Z$21,0)+COUNTIF($Z$14:Z17,Z17)-1</f>
        <v>1</v>
      </c>
      <c r="AC17" s="121"/>
      <c r="AD17" s="106">
        <v>4</v>
      </c>
      <c r="AE17" s="12" t="str">
        <f t="shared" si="10"/>
        <v>LAING</v>
      </c>
      <c r="AF17" s="12">
        <f t="shared" si="11"/>
        <v>21</v>
      </c>
      <c r="AG17" s="107">
        <f t="shared" si="12"/>
        <v>15</v>
      </c>
    </row>
    <row r="18" spans="1:33" x14ac:dyDescent="0.2">
      <c r="A18" s="19"/>
      <c r="B18" s="20"/>
      <c r="C18" s="28">
        <f t="shared" si="14"/>
        <v>16</v>
      </c>
      <c r="D18" s="28">
        <f t="shared" si="13"/>
        <v>8</v>
      </c>
      <c r="E18" s="28">
        <f t="shared" si="13"/>
        <v>2</v>
      </c>
      <c r="F18" s="28">
        <f t="shared" si="13"/>
        <v>18</v>
      </c>
      <c r="G18" s="28">
        <f t="shared" si="13"/>
        <v>4</v>
      </c>
      <c r="H18" s="28">
        <f t="shared" si="13"/>
        <v>12</v>
      </c>
      <c r="I18" s="28">
        <f t="shared" si="13"/>
        <v>6</v>
      </c>
      <c r="J18" s="28">
        <f t="shared" si="13"/>
        <v>10</v>
      </c>
      <c r="K18" s="28">
        <f t="shared" si="13"/>
        <v>14</v>
      </c>
      <c r="L18" s="28">
        <f t="shared" si="13"/>
        <v>11</v>
      </c>
      <c r="M18" s="28">
        <f t="shared" si="13"/>
        <v>1</v>
      </c>
      <c r="N18" s="28">
        <f t="shared" si="13"/>
        <v>5</v>
      </c>
      <c r="O18" s="28">
        <f t="shared" si="13"/>
        <v>15</v>
      </c>
      <c r="P18" s="28">
        <f t="shared" si="13"/>
        <v>13</v>
      </c>
      <c r="Q18" s="28">
        <f t="shared" si="13"/>
        <v>7</v>
      </c>
      <c r="R18" s="28">
        <f t="shared" si="13"/>
        <v>17</v>
      </c>
      <c r="S18" s="28">
        <f t="shared" si="13"/>
        <v>3</v>
      </c>
      <c r="T18" s="28">
        <f t="shared" si="13"/>
        <v>9</v>
      </c>
      <c r="U18" s="29"/>
      <c r="Y18" s="119" t="str">
        <f t="shared" si="8"/>
        <v>HOLLANDS</v>
      </c>
      <c r="Z18" s="120">
        <f t="shared" si="8"/>
        <v>39</v>
      </c>
      <c r="AA18" s="120">
        <f t="shared" si="9"/>
        <v>22.5</v>
      </c>
      <c r="AB18" s="120">
        <f>RANK(Z18,$Z$14:$Z$21,0)+COUNTIF($Z$14:Z18,Z18)-1</f>
        <v>2</v>
      </c>
      <c r="AC18" s="121"/>
      <c r="AD18" s="106">
        <v>5</v>
      </c>
      <c r="AE18" s="12" t="str">
        <f t="shared" si="10"/>
        <v>REILLY</v>
      </c>
      <c r="AF18" s="12">
        <f t="shared" si="11"/>
        <v>12</v>
      </c>
      <c r="AG18" s="107">
        <f t="shared" si="12"/>
        <v>12</v>
      </c>
    </row>
    <row r="19" spans="1:33" x14ac:dyDescent="0.2">
      <c r="A19" s="19" t="s">
        <v>3</v>
      </c>
      <c r="B19" s="21">
        <f>B7</f>
        <v>18</v>
      </c>
      <c r="C19" s="1" t="str">
        <f t="shared" ref="C19:T19" si="15">IF($B$19&gt;=C18,"●","")&amp;(IF($B$19-18&gt;=C18,"●",""))</f>
        <v>●</v>
      </c>
      <c r="D19" s="1" t="str">
        <f t="shared" si="15"/>
        <v>●</v>
      </c>
      <c r="E19" s="1" t="str">
        <f t="shared" si="15"/>
        <v>●</v>
      </c>
      <c r="F19" s="1" t="str">
        <f t="shared" si="15"/>
        <v>●</v>
      </c>
      <c r="G19" s="1" t="str">
        <f t="shared" si="15"/>
        <v>●</v>
      </c>
      <c r="H19" s="1" t="str">
        <f t="shared" si="15"/>
        <v>●</v>
      </c>
      <c r="I19" s="1" t="str">
        <f t="shared" si="15"/>
        <v>●</v>
      </c>
      <c r="J19" s="1" t="str">
        <f t="shared" si="15"/>
        <v>●</v>
      </c>
      <c r="K19" s="1" t="str">
        <f t="shared" si="15"/>
        <v>●</v>
      </c>
      <c r="L19" s="1" t="str">
        <f t="shared" si="15"/>
        <v>●</v>
      </c>
      <c r="M19" s="1" t="str">
        <f t="shared" si="15"/>
        <v>●</v>
      </c>
      <c r="N19" s="1" t="str">
        <f t="shared" si="15"/>
        <v>●</v>
      </c>
      <c r="O19" s="1" t="str">
        <f t="shared" si="15"/>
        <v>●</v>
      </c>
      <c r="P19" s="1" t="str">
        <f t="shared" si="15"/>
        <v>●</v>
      </c>
      <c r="Q19" s="1" t="str">
        <f t="shared" si="15"/>
        <v>●</v>
      </c>
      <c r="R19" s="1" t="str">
        <f t="shared" si="15"/>
        <v>●</v>
      </c>
      <c r="S19" s="1" t="str">
        <f t="shared" si="15"/>
        <v>●</v>
      </c>
      <c r="T19" s="1" t="str">
        <f t="shared" si="15"/>
        <v>●</v>
      </c>
      <c r="U19" s="9"/>
      <c r="Y19" s="119" t="str">
        <f t="shared" si="8"/>
        <v>LAING</v>
      </c>
      <c r="Z19" s="120">
        <f t="shared" si="8"/>
        <v>21</v>
      </c>
      <c r="AA19" s="120">
        <f t="shared" si="9"/>
        <v>15</v>
      </c>
      <c r="AB19" s="120">
        <f>RANK(Z19,$Z$14:$Z$21,0)+COUNTIF($Z$14:Z19,Z19)-1</f>
        <v>4</v>
      </c>
      <c r="AC19" s="121"/>
      <c r="AD19" s="106">
        <v>6</v>
      </c>
      <c r="AE19" s="12" t="str">
        <f t="shared" si="10"/>
        <v>DEY</v>
      </c>
      <c r="AF19" s="12">
        <f t="shared" si="11"/>
        <v>10</v>
      </c>
      <c r="AG19" s="107">
        <f t="shared" si="12"/>
        <v>7.5</v>
      </c>
    </row>
    <row r="20" spans="1:33" x14ac:dyDescent="0.2">
      <c r="A20" s="19" t="s">
        <v>4</v>
      </c>
      <c r="B20" s="21">
        <f t="shared" ref="B20:B26" si="16">B8</f>
        <v>18</v>
      </c>
      <c r="C20" s="1" t="str">
        <f t="shared" ref="C20:T20" si="17">IF($B$20&gt;=C18,"●","")&amp;(IF($B$20-18&gt;=C18,"●",""))</f>
        <v>●</v>
      </c>
      <c r="D20" s="1" t="str">
        <f t="shared" si="17"/>
        <v>●</v>
      </c>
      <c r="E20" s="1" t="str">
        <f t="shared" si="17"/>
        <v>●</v>
      </c>
      <c r="F20" s="1" t="str">
        <f t="shared" si="17"/>
        <v>●</v>
      </c>
      <c r="G20" s="1" t="str">
        <f t="shared" si="17"/>
        <v>●</v>
      </c>
      <c r="H20" s="1" t="str">
        <f t="shared" si="17"/>
        <v>●</v>
      </c>
      <c r="I20" s="1" t="str">
        <f t="shared" si="17"/>
        <v>●</v>
      </c>
      <c r="J20" s="1" t="str">
        <f t="shared" si="17"/>
        <v>●</v>
      </c>
      <c r="K20" s="1" t="str">
        <f t="shared" si="17"/>
        <v>●</v>
      </c>
      <c r="L20" s="1" t="str">
        <f t="shared" si="17"/>
        <v>●</v>
      </c>
      <c r="M20" s="1" t="str">
        <f t="shared" si="17"/>
        <v>●</v>
      </c>
      <c r="N20" s="1" t="str">
        <f t="shared" si="17"/>
        <v>●</v>
      </c>
      <c r="O20" s="1" t="str">
        <f t="shared" si="17"/>
        <v>●</v>
      </c>
      <c r="P20" s="1" t="str">
        <f t="shared" si="17"/>
        <v>●</v>
      </c>
      <c r="Q20" s="1" t="str">
        <f t="shared" si="17"/>
        <v>●</v>
      </c>
      <c r="R20" s="1" t="str">
        <f t="shared" si="17"/>
        <v>●</v>
      </c>
      <c r="S20" s="1" t="str">
        <f t="shared" si="17"/>
        <v>●</v>
      </c>
      <c r="T20" s="1" t="str">
        <f t="shared" si="17"/>
        <v>●</v>
      </c>
      <c r="U20" s="9"/>
      <c r="Y20" s="119" t="str">
        <f t="shared" si="8"/>
        <v>REILLY</v>
      </c>
      <c r="Z20" s="120">
        <f t="shared" si="8"/>
        <v>12</v>
      </c>
      <c r="AA20" s="120">
        <f t="shared" si="9"/>
        <v>12</v>
      </c>
      <c r="AB20" s="120">
        <f>RANK(Z20,$Z$14:$Z$21,0)+COUNTIF($Z$14:Z20,Z20)-1</f>
        <v>5</v>
      </c>
      <c r="AC20" s="121"/>
      <c r="AD20" s="106">
        <v>7</v>
      </c>
      <c r="AE20" s="12" t="str">
        <f t="shared" si="10"/>
        <v>STONES</v>
      </c>
      <c r="AF20" s="12">
        <f t="shared" si="11"/>
        <v>10</v>
      </c>
      <c r="AG20" s="107">
        <f t="shared" si="12"/>
        <v>7.5</v>
      </c>
    </row>
    <row r="21" spans="1:33" x14ac:dyDescent="0.2">
      <c r="A21" s="19" t="s">
        <v>5</v>
      </c>
      <c r="B21" s="21">
        <f t="shared" si="16"/>
        <v>18</v>
      </c>
      <c r="C21" s="1" t="str">
        <f t="shared" ref="C21:T21" si="18">IF($B$21&gt;=C18,"●","")&amp;(IF($B$21-18&gt;=C18,"●",""))</f>
        <v>●</v>
      </c>
      <c r="D21" s="1" t="str">
        <f t="shared" si="18"/>
        <v>●</v>
      </c>
      <c r="E21" s="1" t="str">
        <f t="shared" si="18"/>
        <v>●</v>
      </c>
      <c r="F21" s="1" t="str">
        <f t="shared" si="18"/>
        <v>●</v>
      </c>
      <c r="G21" s="1" t="str">
        <f t="shared" si="18"/>
        <v>●</v>
      </c>
      <c r="H21" s="1" t="str">
        <f t="shared" si="18"/>
        <v>●</v>
      </c>
      <c r="I21" s="1" t="str">
        <f t="shared" si="18"/>
        <v>●</v>
      </c>
      <c r="J21" s="1" t="str">
        <f t="shared" si="18"/>
        <v>●</v>
      </c>
      <c r="K21" s="1" t="str">
        <f t="shared" si="18"/>
        <v>●</v>
      </c>
      <c r="L21" s="1" t="str">
        <f t="shared" si="18"/>
        <v>●</v>
      </c>
      <c r="M21" s="1" t="str">
        <f t="shared" si="18"/>
        <v>●</v>
      </c>
      <c r="N21" s="1" t="str">
        <f t="shared" si="18"/>
        <v>●</v>
      </c>
      <c r="O21" s="1" t="str">
        <f t="shared" si="18"/>
        <v>●</v>
      </c>
      <c r="P21" s="1" t="str">
        <f t="shared" si="18"/>
        <v>●</v>
      </c>
      <c r="Q21" s="1" t="str">
        <f t="shared" si="18"/>
        <v>●</v>
      </c>
      <c r="R21" s="1" t="str">
        <f t="shared" si="18"/>
        <v>●</v>
      </c>
      <c r="S21" s="1" t="str">
        <f t="shared" si="18"/>
        <v>●</v>
      </c>
      <c r="T21" s="1" t="str">
        <f t="shared" si="18"/>
        <v>●</v>
      </c>
      <c r="U21" s="9"/>
      <c r="Y21" s="122" t="str">
        <f t="shared" si="8"/>
        <v>STONES</v>
      </c>
      <c r="Z21" s="123">
        <f t="shared" si="8"/>
        <v>10</v>
      </c>
      <c r="AA21" s="123">
        <f t="shared" si="9"/>
        <v>7.5</v>
      </c>
      <c r="AB21" s="123">
        <f>RANK(Z21,$Z$14:$Z$21,0)+COUNTIF($Z$14:Z21,Z21)-1</f>
        <v>7</v>
      </c>
      <c r="AC21" s="124"/>
      <c r="AD21" s="108">
        <v>8</v>
      </c>
      <c r="AE21" s="109" t="str">
        <f t="shared" si="10"/>
        <v>BELLIS</v>
      </c>
      <c r="AF21" s="109">
        <f t="shared" si="11"/>
        <v>5</v>
      </c>
      <c r="AG21" s="110">
        <f t="shared" si="12"/>
        <v>3</v>
      </c>
    </row>
    <row r="22" spans="1:33" x14ac:dyDescent="0.2">
      <c r="A22" s="19" t="s">
        <v>6</v>
      </c>
      <c r="B22" s="21">
        <f t="shared" si="16"/>
        <v>18</v>
      </c>
      <c r="C22" s="1" t="str">
        <f t="shared" ref="C22:T22" si="19">IF($B$22&gt;=C18,"●","")&amp;(IF($B$22-18&gt;=C18,"●",""))</f>
        <v>●</v>
      </c>
      <c r="D22" s="1" t="str">
        <f t="shared" si="19"/>
        <v>●</v>
      </c>
      <c r="E22" s="1" t="str">
        <f t="shared" si="19"/>
        <v>●</v>
      </c>
      <c r="F22" s="1" t="str">
        <f t="shared" si="19"/>
        <v>●</v>
      </c>
      <c r="G22" s="1" t="str">
        <f t="shared" si="19"/>
        <v>●</v>
      </c>
      <c r="H22" s="1" t="str">
        <f t="shared" si="19"/>
        <v>●</v>
      </c>
      <c r="I22" s="1" t="str">
        <f t="shared" si="19"/>
        <v>●</v>
      </c>
      <c r="J22" s="1" t="str">
        <f t="shared" si="19"/>
        <v>●</v>
      </c>
      <c r="K22" s="1" t="str">
        <f t="shared" si="19"/>
        <v>●</v>
      </c>
      <c r="L22" s="1" t="str">
        <f t="shared" si="19"/>
        <v>●</v>
      </c>
      <c r="M22" s="1" t="str">
        <f t="shared" si="19"/>
        <v>●</v>
      </c>
      <c r="N22" s="1" t="str">
        <f t="shared" si="19"/>
        <v>●</v>
      </c>
      <c r="O22" s="1" t="str">
        <f t="shared" si="19"/>
        <v>●</v>
      </c>
      <c r="P22" s="1" t="str">
        <f t="shared" si="19"/>
        <v>●</v>
      </c>
      <c r="Q22" s="1" t="str">
        <f t="shared" si="19"/>
        <v>●</v>
      </c>
      <c r="R22" s="1" t="str">
        <f t="shared" si="19"/>
        <v>●</v>
      </c>
      <c r="S22" s="1" t="str">
        <f t="shared" si="19"/>
        <v>●</v>
      </c>
      <c r="T22" s="1" t="str">
        <f t="shared" si="19"/>
        <v>●</v>
      </c>
      <c r="U22" s="9"/>
      <c r="Y22" s="85"/>
      <c r="Z22" s="86"/>
      <c r="AA22" s="86"/>
      <c r="AB22" s="86"/>
      <c r="AC22" s="86"/>
      <c r="AD22" s="86"/>
      <c r="AE22" s="86"/>
      <c r="AF22" s="86"/>
      <c r="AG22" s="87"/>
    </row>
    <row r="23" spans="1:33" x14ac:dyDescent="0.2">
      <c r="A23" s="19" t="s">
        <v>7</v>
      </c>
      <c r="B23" s="21">
        <f t="shared" si="16"/>
        <v>18</v>
      </c>
      <c r="C23" s="1" t="str">
        <f t="shared" ref="C23:T23" si="20">IF($B$23&gt;=C18,"●","")&amp;(IF($B$23-18&gt;=C18,"●",""))</f>
        <v>●</v>
      </c>
      <c r="D23" s="1" t="str">
        <f t="shared" si="20"/>
        <v>●</v>
      </c>
      <c r="E23" s="1" t="str">
        <f t="shared" si="20"/>
        <v>●</v>
      </c>
      <c r="F23" s="1" t="str">
        <f t="shared" si="20"/>
        <v>●</v>
      </c>
      <c r="G23" s="1" t="str">
        <f t="shared" si="20"/>
        <v>●</v>
      </c>
      <c r="H23" s="1" t="str">
        <f t="shared" si="20"/>
        <v>●</v>
      </c>
      <c r="I23" s="1" t="str">
        <f t="shared" si="20"/>
        <v>●</v>
      </c>
      <c r="J23" s="1" t="str">
        <f t="shared" si="20"/>
        <v>●</v>
      </c>
      <c r="K23" s="1" t="str">
        <f t="shared" si="20"/>
        <v>●</v>
      </c>
      <c r="L23" s="1" t="str">
        <f t="shared" si="20"/>
        <v>●</v>
      </c>
      <c r="M23" s="1" t="str">
        <f t="shared" si="20"/>
        <v>●</v>
      </c>
      <c r="N23" s="1" t="str">
        <f t="shared" si="20"/>
        <v>●</v>
      </c>
      <c r="O23" s="1" t="str">
        <f t="shared" si="20"/>
        <v>●</v>
      </c>
      <c r="P23" s="1" t="str">
        <f t="shared" si="20"/>
        <v>●</v>
      </c>
      <c r="Q23" s="1" t="str">
        <f t="shared" si="20"/>
        <v>●</v>
      </c>
      <c r="R23" s="1" t="str">
        <f t="shared" si="20"/>
        <v>●</v>
      </c>
      <c r="S23" s="1" t="str">
        <f t="shared" si="20"/>
        <v>●</v>
      </c>
      <c r="T23" s="1" t="str">
        <f t="shared" si="20"/>
        <v>●</v>
      </c>
      <c r="U23" s="9"/>
    </row>
    <row r="24" spans="1:33" x14ac:dyDescent="0.2">
      <c r="A24" s="19" t="s">
        <v>8</v>
      </c>
      <c r="B24" s="21">
        <f t="shared" si="16"/>
        <v>18</v>
      </c>
      <c r="C24" s="1" t="str">
        <f t="shared" ref="C24:T24" si="21">IF($B$24&gt;=C18,"●","")&amp;(IF($B$24-18&gt;=C18,"●",""))</f>
        <v>●</v>
      </c>
      <c r="D24" s="1" t="str">
        <f t="shared" si="21"/>
        <v>●</v>
      </c>
      <c r="E24" s="1" t="str">
        <f t="shared" si="21"/>
        <v>●</v>
      </c>
      <c r="F24" s="1" t="str">
        <f t="shared" si="21"/>
        <v>●</v>
      </c>
      <c r="G24" s="1" t="str">
        <f t="shared" si="21"/>
        <v>●</v>
      </c>
      <c r="H24" s="1" t="str">
        <f t="shared" si="21"/>
        <v>●</v>
      </c>
      <c r="I24" s="1" t="str">
        <f t="shared" si="21"/>
        <v>●</v>
      </c>
      <c r="J24" s="1" t="str">
        <f t="shared" si="21"/>
        <v>●</v>
      </c>
      <c r="K24" s="1" t="str">
        <f t="shared" si="21"/>
        <v>●</v>
      </c>
      <c r="L24" s="1" t="str">
        <f t="shared" si="21"/>
        <v>●</v>
      </c>
      <c r="M24" s="1" t="str">
        <f t="shared" si="21"/>
        <v>●</v>
      </c>
      <c r="N24" s="1" t="str">
        <f t="shared" si="21"/>
        <v>●</v>
      </c>
      <c r="O24" s="1" t="str">
        <f t="shared" si="21"/>
        <v>●</v>
      </c>
      <c r="P24" s="1" t="str">
        <f t="shared" si="21"/>
        <v>●</v>
      </c>
      <c r="Q24" s="1" t="str">
        <f t="shared" si="21"/>
        <v>●</v>
      </c>
      <c r="R24" s="1" t="str">
        <f t="shared" si="21"/>
        <v>●</v>
      </c>
      <c r="S24" s="1" t="str">
        <f t="shared" si="21"/>
        <v>●</v>
      </c>
      <c r="T24" s="1" t="str">
        <f t="shared" si="21"/>
        <v>●</v>
      </c>
      <c r="U24" s="9"/>
    </row>
    <row r="25" spans="1:33" x14ac:dyDescent="0.2">
      <c r="A25" s="19" t="s">
        <v>9</v>
      </c>
      <c r="B25" s="21">
        <f t="shared" si="16"/>
        <v>18</v>
      </c>
      <c r="C25" s="1" t="str">
        <f t="shared" ref="C25:T25" si="22">IF($B$25&gt;=C18,"●","")&amp;(IF($B$25-18&gt;=C18,"●",""))</f>
        <v>●</v>
      </c>
      <c r="D25" s="1" t="str">
        <f t="shared" si="22"/>
        <v>●</v>
      </c>
      <c r="E25" s="1" t="str">
        <f t="shared" si="22"/>
        <v>●</v>
      </c>
      <c r="F25" s="1" t="str">
        <f t="shared" si="22"/>
        <v>●</v>
      </c>
      <c r="G25" s="1" t="str">
        <f t="shared" si="22"/>
        <v>●</v>
      </c>
      <c r="H25" s="1" t="str">
        <f t="shared" si="22"/>
        <v>●</v>
      </c>
      <c r="I25" s="1" t="str">
        <f t="shared" si="22"/>
        <v>●</v>
      </c>
      <c r="J25" s="1" t="str">
        <f t="shared" si="22"/>
        <v>●</v>
      </c>
      <c r="K25" s="1" t="str">
        <f t="shared" si="22"/>
        <v>●</v>
      </c>
      <c r="L25" s="1" t="str">
        <f t="shared" si="22"/>
        <v>●</v>
      </c>
      <c r="M25" s="1" t="str">
        <f t="shared" si="22"/>
        <v>●</v>
      </c>
      <c r="N25" s="1" t="str">
        <f t="shared" si="22"/>
        <v>●</v>
      </c>
      <c r="O25" s="1" t="str">
        <f t="shared" si="22"/>
        <v>●</v>
      </c>
      <c r="P25" s="1" t="str">
        <f t="shared" si="22"/>
        <v>●</v>
      </c>
      <c r="Q25" s="1" t="str">
        <f t="shared" si="22"/>
        <v>●</v>
      </c>
      <c r="R25" s="1" t="str">
        <f t="shared" si="22"/>
        <v>●</v>
      </c>
      <c r="S25" s="1" t="str">
        <f t="shared" si="22"/>
        <v>●</v>
      </c>
      <c r="T25" s="1" t="str">
        <f t="shared" si="22"/>
        <v>●</v>
      </c>
      <c r="U25" s="9"/>
    </row>
    <row r="26" spans="1:33" x14ac:dyDescent="0.2">
      <c r="A26" s="22" t="s">
        <v>10</v>
      </c>
      <c r="B26" s="23">
        <f t="shared" si="16"/>
        <v>18</v>
      </c>
      <c r="C26" s="6" t="str">
        <f t="shared" ref="C26:T26" si="23">IF($B$26&gt;=C18,"●","")&amp;(IF($B$26-18&gt;=C18,"●",""))</f>
        <v>●</v>
      </c>
      <c r="D26" s="6" t="str">
        <f t="shared" si="23"/>
        <v>●</v>
      </c>
      <c r="E26" s="6" t="str">
        <f t="shared" si="23"/>
        <v>●</v>
      </c>
      <c r="F26" s="6" t="str">
        <f t="shared" si="23"/>
        <v>●</v>
      </c>
      <c r="G26" s="6" t="str">
        <f t="shared" si="23"/>
        <v>●</v>
      </c>
      <c r="H26" s="6" t="str">
        <f t="shared" si="23"/>
        <v>●</v>
      </c>
      <c r="I26" s="6" t="str">
        <f t="shared" si="23"/>
        <v>●</v>
      </c>
      <c r="J26" s="6" t="str">
        <f t="shared" si="23"/>
        <v>●</v>
      </c>
      <c r="K26" s="6" t="str">
        <f t="shared" si="23"/>
        <v>●</v>
      </c>
      <c r="L26" s="6" t="str">
        <f t="shared" si="23"/>
        <v>●</v>
      </c>
      <c r="M26" s="6" t="str">
        <f t="shared" si="23"/>
        <v>●</v>
      </c>
      <c r="N26" s="6" t="str">
        <f t="shared" si="23"/>
        <v>●</v>
      </c>
      <c r="O26" s="6" t="str">
        <f t="shared" si="23"/>
        <v>●</v>
      </c>
      <c r="P26" s="6" t="str">
        <f t="shared" si="23"/>
        <v>●</v>
      </c>
      <c r="Q26" s="6" t="str">
        <f t="shared" si="23"/>
        <v>●</v>
      </c>
      <c r="R26" s="6" t="str">
        <f t="shared" si="23"/>
        <v>●</v>
      </c>
      <c r="S26" s="6" t="str">
        <f t="shared" si="23"/>
        <v>●</v>
      </c>
      <c r="T26" s="6" t="str">
        <f t="shared" si="23"/>
        <v>●</v>
      </c>
      <c r="U26" s="10"/>
    </row>
    <row r="28" spans="1:33" x14ac:dyDescent="0.2">
      <c r="A28" s="17"/>
      <c r="B28" s="30"/>
      <c r="C28" s="25">
        <f>C16</f>
        <v>1</v>
      </c>
      <c r="D28" s="25">
        <f t="shared" ref="D28:T30" si="24">D16</f>
        <v>2</v>
      </c>
      <c r="E28" s="25">
        <f t="shared" si="24"/>
        <v>3</v>
      </c>
      <c r="F28" s="25">
        <f t="shared" si="24"/>
        <v>4</v>
      </c>
      <c r="G28" s="25">
        <f t="shared" si="24"/>
        <v>5</v>
      </c>
      <c r="H28" s="25">
        <f t="shared" si="24"/>
        <v>6</v>
      </c>
      <c r="I28" s="25">
        <f t="shared" si="24"/>
        <v>7</v>
      </c>
      <c r="J28" s="25">
        <f t="shared" si="24"/>
        <v>8</v>
      </c>
      <c r="K28" s="25">
        <f t="shared" si="24"/>
        <v>9</v>
      </c>
      <c r="L28" s="25">
        <f t="shared" si="24"/>
        <v>10</v>
      </c>
      <c r="M28" s="25">
        <f t="shared" si="24"/>
        <v>11</v>
      </c>
      <c r="N28" s="25">
        <f t="shared" si="24"/>
        <v>12</v>
      </c>
      <c r="O28" s="25">
        <f t="shared" si="24"/>
        <v>13</v>
      </c>
      <c r="P28" s="25">
        <f t="shared" si="24"/>
        <v>14</v>
      </c>
      <c r="Q28" s="25">
        <f t="shared" si="24"/>
        <v>15</v>
      </c>
      <c r="R28" s="25">
        <f t="shared" si="24"/>
        <v>16</v>
      </c>
      <c r="S28" s="25">
        <f t="shared" si="24"/>
        <v>17</v>
      </c>
      <c r="T28" s="25">
        <f t="shared" si="24"/>
        <v>18</v>
      </c>
      <c r="U28" s="26" t="s">
        <v>2</v>
      </c>
      <c r="V28" s="31" t="s">
        <v>18</v>
      </c>
    </row>
    <row r="29" spans="1:33" x14ac:dyDescent="0.2">
      <c r="A29" s="19"/>
      <c r="B29" s="20"/>
      <c r="C29" s="27">
        <f t="shared" ref="C29:R30" si="25">C17</f>
        <v>4</v>
      </c>
      <c r="D29" s="27">
        <f t="shared" si="25"/>
        <v>3</v>
      </c>
      <c r="E29" s="27">
        <f t="shared" si="25"/>
        <v>4</v>
      </c>
      <c r="F29" s="27">
        <f t="shared" si="25"/>
        <v>4</v>
      </c>
      <c r="G29" s="27">
        <f t="shared" si="25"/>
        <v>4</v>
      </c>
      <c r="H29" s="27">
        <f t="shared" si="25"/>
        <v>5</v>
      </c>
      <c r="I29" s="27">
        <f t="shared" si="25"/>
        <v>3</v>
      </c>
      <c r="J29" s="27">
        <f t="shared" si="25"/>
        <v>4</v>
      </c>
      <c r="K29" s="27">
        <f t="shared" si="25"/>
        <v>5</v>
      </c>
      <c r="L29" s="27">
        <f t="shared" si="25"/>
        <v>4</v>
      </c>
      <c r="M29" s="27">
        <f t="shared" si="25"/>
        <v>5</v>
      </c>
      <c r="N29" s="27">
        <f t="shared" si="25"/>
        <v>4</v>
      </c>
      <c r="O29" s="27">
        <f t="shared" si="25"/>
        <v>4</v>
      </c>
      <c r="P29" s="27">
        <f t="shared" si="25"/>
        <v>3</v>
      </c>
      <c r="Q29" s="27">
        <f t="shared" si="25"/>
        <v>5</v>
      </c>
      <c r="R29" s="27">
        <f t="shared" si="25"/>
        <v>4</v>
      </c>
      <c r="S29" s="27">
        <f t="shared" si="24"/>
        <v>3</v>
      </c>
      <c r="T29" s="27">
        <f t="shared" si="24"/>
        <v>4</v>
      </c>
      <c r="U29" s="20"/>
    </row>
    <row r="30" spans="1:33" x14ac:dyDescent="0.2">
      <c r="A30" s="19"/>
      <c r="B30" s="20"/>
      <c r="C30" s="28">
        <f t="shared" si="25"/>
        <v>16</v>
      </c>
      <c r="D30" s="28">
        <f t="shared" si="24"/>
        <v>8</v>
      </c>
      <c r="E30" s="28">
        <f t="shared" si="24"/>
        <v>2</v>
      </c>
      <c r="F30" s="28">
        <f t="shared" si="24"/>
        <v>18</v>
      </c>
      <c r="G30" s="28">
        <f t="shared" si="24"/>
        <v>4</v>
      </c>
      <c r="H30" s="28">
        <f t="shared" si="24"/>
        <v>12</v>
      </c>
      <c r="I30" s="28">
        <f t="shared" si="24"/>
        <v>6</v>
      </c>
      <c r="J30" s="28">
        <f t="shared" si="24"/>
        <v>10</v>
      </c>
      <c r="K30" s="28">
        <f t="shared" si="24"/>
        <v>14</v>
      </c>
      <c r="L30" s="28">
        <f t="shared" si="24"/>
        <v>11</v>
      </c>
      <c r="M30" s="28">
        <f t="shared" si="24"/>
        <v>1</v>
      </c>
      <c r="N30" s="28">
        <f t="shared" si="24"/>
        <v>5</v>
      </c>
      <c r="O30" s="28">
        <f t="shared" si="24"/>
        <v>15</v>
      </c>
      <c r="P30" s="28">
        <f t="shared" si="24"/>
        <v>13</v>
      </c>
      <c r="Q30" s="28">
        <f t="shared" si="24"/>
        <v>7</v>
      </c>
      <c r="R30" s="28">
        <f t="shared" si="24"/>
        <v>17</v>
      </c>
      <c r="S30" s="28">
        <f t="shared" si="24"/>
        <v>3</v>
      </c>
      <c r="T30" s="28">
        <f t="shared" si="24"/>
        <v>9</v>
      </c>
      <c r="U30" s="29"/>
    </row>
    <row r="31" spans="1:33" x14ac:dyDescent="0.2">
      <c r="A31" s="19" t="s">
        <v>3</v>
      </c>
      <c r="B31" s="21">
        <v>8</v>
      </c>
      <c r="C31" s="1">
        <f t="shared" ref="C31:T31" si="26">C7+IF(C19="●",-1)+IF(C19="●●",-2)</f>
        <v>7</v>
      </c>
      <c r="D31" s="1">
        <f t="shared" si="26"/>
        <v>1</v>
      </c>
      <c r="E31" s="1">
        <f t="shared" si="26"/>
        <v>7</v>
      </c>
      <c r="F31" s="1">
        <f t="shared" si="26"/>
        <v>7</v>
      </c>
      <c r="G31" s="1">
        <f t="shared" si="26"/>
        <v>7</v>
      </c>
      <c r="H31" s="1">
        <f t="shared" si="26"/>
        <v>7</v>
      </c>
      <c r="I31" s="1">
        <f t="shared" si="26"/>
        <v>7</v>
      </c>
      <c r="J31" s="1">
        <f t="shared" si="26"/>
        <v>7</v>
      </c>
      <c r="K31" s="1">
        <f t="shared" si="26"/>
        <v>1</v>
      </c>
      <c r="L31" s="1">
        <f t="shared" si="26"/>
        <v>7</v>
      </c>
      <c r="M31" s="1">
        <f t="shared" si="26"/>
        <v>7</v>
      </c>
      <c r="N31" s="1">
        <f t="shared" si="26"/>
        <v>7</v>
      </c>
      <c r="O31" s="1">
        <f t="shared" si="26"/>
        <v>7</v>
      </c>
      <c r="P31" s="1">
        <f t="shared" si="26"/>
        <v>7</v>
      </c>
      <c r="Q31" s="1">
        <f t="shared" si="26"/>
        <v>7</v>
      </c>
      <c r="R31" s="1">
        <f t="shared" si="26"/>
        <v>7</v>
      </c>
      <c r="S31" s="1">
        <f t="shared" si="26"/>
        <v>7</v>
      </c>
      <c r="T31" s="1">
        <f t="shared" si="26"/>
        <v>8</v>
      </c>
      <c r="U31" s="9">
        <f>SUM(C31:T31)</f>
        <v>115</v>
      </c>
    </row>
    <row r="32" spans="1:33" x14ac:dyDescent="0.2">
      <c r="A32" s="19" t="s">
        <v>4</v>
      </c>
      <c r="B32" s="21">
        <v>17</v>
      </c>
      <c r="C32" s="1">
        <f t="shared" ref="C32:T32" si="27">C8+IF(C20="●",-1)+IF(C20="●●",-2)</f>
        <v>6</v>
      </c>
      <c r="D32" s="1">
        <f t="shared" si="27"/>
        <v>6</v>
      </c>
      <c r="E32" s="1">
        <f t="shared" si="27"/>
        <v>6</v>
      </c>
      <c r="F32" s="1">
        <f t="shared" si="27"/>
        <v>6</v>
      </c>
      <c r="G32" s="1">
        <f t="shared" si="27"/>
        <v>6</v>
      </c>
      <c r="H32" s="1">
        <f t="shared" si="27"/>
        <v>0</v>
      </c>
      <c r="I32" s="1">
        <f t="shared" si="27"/>
        <v>0</v>
      </c>
      <c r="J32" s="1">
        <f t="shared" si="27"/>
        <v>0</v>
      </c>
      <c r="K32" s="1">
        <f t="shared" si="27"/>
        <v>8</v>
      </c>
      <c r="L32" s="1">
        <f t="shared" si="27"/>
        <v>8</v>
      </c>
      <c r="M32" s="1">
        <f t="shared" si="27"/>
        <v>8</v>
      </c>
      <c r="N32" s="1">
        <f t="shared" si="27"/>
        <v>8</v>
      </c>
      <c r="O32" s="1">
        <f t="shared" si="27"/>
        <v>8</v>
      </c>
      <c r="P32" s="1">
        <f t="shared" si="27"/>
        <v>8</v>
      </c>
      <c r="Q32" s="1">
        <f t="shared" si="27"/>
        <v>8</v>
      </c>
      <c r="R32" s="1">
        <f t="shared" si="27"/>
        <v>8</v>
      </c>
      <c r="S32" s="1">
        <f t="shared" si="27"/>
        <v>8</v>
      </c>
      <c r="T32" s="1">
        <f t="shared" si="27"/>
        <v>8</v>
      </c>
      <c r="U32" s="9">
        <f t="shared" ref="U32:U38" si="28">SUM(C32:T32)</f>
        <v>110</v>
      </c>
    </row>
    <row r="33" spans="1:22" x14ac:dyDescent="0.2">
      <c r="A33" s="19" t="s">
        <v>5</v>
      </c>
      <c r="B33" s="21">
        <v>12</v>
      </c>
      <c r="C33" s="1">
        <f t="shared" ref="C33:T33" si="29">C9+IF(C21="●",-1)+IF(C21="●●",-2)</f>
        <v>3</v>
      </c>
      <c r="D33" s="1">
        <f t="shared" si="29"/>
        <v>8</v>
      </c>
      <c r="E33" s="1">
        <f t="shared" si="29"/>
        <v>2</v>
      </c>
      <c r="F33" s="1">
        <f t="shared" si="29"/>
        <v>1</v>
      </c>
      <c r="G33" s="1">
        <f t="shared" si="29"/>
        <v>3</v>
      </c>
      <c r="H33" s="1">
        <f t="shared" si="29"/>
        <v>3</v>
      </c>
      <c r="I33" s="1">
        <f t="shared" si="29"/>
        <v>3</v>
      </c>
      <c r="J33" s="1">
        <f t="shared" si="29"/>
        <v>3</v>
      </c>
      <c r="K33" s="1">
        <f t="shared" si="29"/>
        <v>3</v>
      </c>
      <c r="L33" s="1">
        <f t="shared" si="29"/>
        <v>3</v>
      </c>
      <c r="M33" s="1">
        <f t="shared" si="29"/>
        <v>3</v>
      </c>
      <c r="N33" s="1">
        <f t="shared" si="29"/>
        <v>3</v>
      </c>
      <c r="O33" s="1">
        <f t="shared" si="29"/>
        <v>3</v>
      </c>
      <c r="P33" s="1">
        <f t="shared" si="29"/>
        <v>3</v>
      </c>
      <c r="Q33" s="1">
        <f t="shared" si="29"/>
        <v>3</v>
      </c>
      <c r="R33" s="1">
        <f t="shared" si="29"/>
        <v>3</v>
      </c>
      <c r="S33" s="1">
        <f t="shared" si="29"/>
        <v>3</v>
      </c>
      <c r="T33" s="1">
        <f t="shared" si="29"/>
        <v>7</v>
      </c>
      <c r="U33" s="9">
        <f t="shared" si="28"/>
        <v>60</v>
      </c>
    </row>
    <row r="34" spans="1:22" x14ac:dyDescent="0.2">
      <c r="A34" s="19" t="s">
        <v>6</v>
      </c>
      <c r="B34" s="21">
        <v>13</v>
      </c>
      <c r="C34" s="1">
        <f t="shared" ref="C34:T34" si="30">C10+IF(C22="●",-1)+IF(C22="●●",-2)</f>
        <v>1</v>
      </c>
      <c r="D34" s="1">
        <f t="shared" si="30"/>
        <v>2</v>
      </c>
      <c r="E34" s="1">
        <f t="shared" si="30"/>
        <v>5</v>
      </c>
      <c r="F34" s="1">
        <f t="shared" si="30"/>
        <v>2</v>
      </c>
      <c r="G34" s="1">
        <f t="shared" si="30"/>
        <v>1</v>
      </c>
      <c r="H34" s="1">
        <f t="shared" si="30"/>
        <v>1</v>
      </c>
      <c r="I34" s="1">
        <f t="shared" si="30"/>
        <v>1</v>
      </c>
      <c r="J34" s="1">
        <f t="shared" si="30"/>
        <v>0</v>
      </c>
      <c r="K34" s="1">
        <f t="shared" si="30"/>
        <v>3</v>
      </c>
      <c r="L34" s="1">
        <f t="shared" si="30"/>
        <v>1</v>
      </c>
      <c r="M34" s="1">
        <f t="shared" si="30"/>
        <v>1</v>
      </c>
      <c r="N34" s="1">
        <f t="shared" si="30"/>
        <v>1</v>
      </c>
      <c r="O34" s="1">
        <f t="shared" si="30"/>
        <v>1</v>
      </c>
      <c r="P34" s="1">
        <f t="shared" si="30"/>
        <v>1</v>
      </c>
      <c r="Q34" s="1">
        <f t="shared" si="30"/>
        <v>5</v>
      </c>
      <c r="R34" s="1">
        <f t="shared" si="30"/>
        <v>5</v>
      </c>
      <c r="S34" s="1">
        <f t="shared" si="30"/>
        <v>5</v>
      </c>
      <c r="T34" s="1">
        <f t="shared" si="30"/>
        <v>6</v>
      </c>
      <c r="U34" s="9">
        <f t="shared" si="28"/>
        <v>42</v>
      </c>
    </row>
    <row r="35" spans="1:22" x14ac:dyDescent="0.2">
      <c r="A35" s="19" t="s">
        <v>7</v>
      </c>
      <c r="B35" s="21">
        <v>9</v>
      </c>
      <c r="C35" s="1">
        <f t="shared" ref="C35:T35" si="31">C11+IF(C23="●",-1)+IF(C23="●●",-2)</f>
        <v>1</v>
      </c>
      <c r="D35" s="1">
        <f t="shared" si="31"/>
        <v>2</v>
      </c>
      <c r="E35" s="1">
        <f t="shared" si="31"/>
        <v>5</v>
      </c>
      <c r="F35" s="1">
        <f t="shared" si="31"/>
        <v>2</v>
      </c>
      <c r="G35" s="1">
        <f t="shared" si="31"/>
        <v>1</v>
      </c>
      <c r="H35" s="1">
        <f t="shared" si="31"/>
        <v>1</v>
      </c>
      <c r="I35" s="1">
        <f t="shared" si="31"/>
        <v>1</v>
      </c>
      <c r="J35" s="1">
        <f t="shared" si="31"/>
        <v>0</v>
      </c>
      <c r="K35" s="1">
        <f t="shared" si="31"/>
        <v>3</v>
      </c>
      <c r="L35" s="1">
        <f t="shared" si="31"/>
        <v>1</v>
      </c>
      <c r="M35" s="1">
        <f t="shared" si="31"/>
        <v>1</v>
      </c>
      <c r="N35" s="1">
        <f t="shared" si="31"/>
        <v>1</v>
      </c>
      <c r="O35" s="1">
        <f t="shared" si="31"/>
        <v>1</v>
      </c>
      <c r="P35" s="1">
        <f t="shared" si="31"/>
        <v>1</v>
      </c>
      <c r="Q35" s="1">
        <f t="shared" si="31"/>
        <v>5</v>
      </c>
      <c r="R35" s="1">
        <f t="shared" si="31"/>
        <v>5</v>
      </c>
      <c r="S35" s="1">
        <f t="shared" si="31"/>
        <v>5</v>
      </c>
      <c r="T35" s="1">
        <f t="shared" si="31"/>
        <v>6</v>
      </c>
      <c r="U35" s="9">
        <f t="shared" si="28"/>
        <v>42</v>
      </c>
    </row>
    <row r="36" spans="1:22" x14ac:dyDescent="0.2">
      <c r="A36" s="19" t="s">
        <v>8</v>
      </c>
      <c r="B36" s="21">
        <v>3</v>
      </c>
      <c r="C36" s="1">
        <f t="shared" ref="C36:T36" si="32">C12+IF(C24="●",-1)+IF(C24="●●",-2)</f>
        <v>6</v>
      </c>
      <c r="D36" s="1">
        <f t="shared" si="32"/>
        <v>5</v>
      </c>
      <c r="E36" s="1">
        <f t="shared" si="32"/>
        <v>3</v>
      </c>
      <c r="F36" s="1">
        <f t="shared" si="32"/>
        <v>3</v>
      </c>
      <c r="G36" s="1">
        <f t="shared" si="32"/>
        <v>2</v>
      </c>
      <c r="H36" s="1">
        <f t="shared" si="32"/>
        <v>3</v>
      </c>
      <c r="I36" s="1">
        <f t="shared" si="32"/>
        <v>6</v>
      </c>
      <c r="J36" s="1">
        <f t="shared" si="32"/>
        <v>1</v>
      </c>
      <c r="K36" s="1">
        <f t="shared" si="32"/>
        <v>3</v>
      </c>
      <c r="L36" s="1">
        <f t="shared" si="32"/>
        <v>4</v>
      </c>
      <c r="M36" s="1">
        <f t="shared" si="32"/>
        <v>4</v>
      </c>
      <c r="N36" s="1">
        <f t="shared" si="32"/>
        <v>4</v>
      </c>
      <c r="O36" s="1">
        <f t="shared" si="32"/>
        <v>4</v>
      </c>
      <c r="P36" s="1">
        <f t="shared" si="32"/>
        <v>4</v>
      </c>
      <c r="Q36" s="1">
        <f t="shared" si="32"/>
        <v>4</v>
      </c>
      <c r="R36" s="1">
        <f t="shared" si="32"/>
        <v>5</v>
      </c>
      <c r="S36" s="1">
        <f t="shared" si="32"/>
        <v>6</v>
      </c>
      <c r="T36" s="1">
        <f t="shared" si="32"/>
        <v>5</v>
      </c>
      <c r="U36" s="9">
        <f t="shared" si="28"/>
        <v>72</v>
      </c>
    </row>
    <row r="37" spans="1:22" x14ac:dyDescent="0.2">
      <c r="A37" s="19" t="s">
        <v>9</v>
      </c>
      <c r="B37" s="21">
        <v>3</v>
      </c>
      <c r="C37" s="1">
        <f t="shared" ref="C37:T37" si="33">C13+IF(C25="●",-1)+IF(C25="●●",-2)</f>
        <v>6</v>
      </c>
      <c r="D37" s="1">
        <f t="shared" si="33"/>
        <v>4</v>
      </c>
      <c r="E37" s="1">
        <f t="shared" si="33"/>
        <v>6</v>
      </c>
      <c r="F37" s="1">
        <f t="shared" si="33"/>
        <v>6</v>
      </c>
      <c r="G37" s="1">
        <f t="shared" si="33"/>
        <v>6</v>
      </c>
      <c r="H37" s="1">
        <f t="shared" si="33"/>
        <v>0</v>
      </c>
      <c r="I37" s="1">
        <f t="shared" si="33"/>
        <v>0</v>
      </c>
      <c r="J37" s="1">
        <f t="shared" si="33"/>
        <v>6</v>
      </c>
      <c r="K37" s="1">
        <f t="shared" si="33"/>
        <v>6</v>
      </c>
      <c r="L37" s="1">
        <f t="shared" si="33"/>
        <v>6</v>
      </c>
      <c r="M37" s="1">
        <f t="shared" si="33"/>
        <v>6</v>
      </c>
      <c r="N37" s="1">
        <f t="shared" si="33"/>
        <v>6</v>
      </c>
      <c r="O37" s="1">
        <f t="shared" si="33"/>
        <v>6</v>
      </c>
      <c r="P37" s="1">
        <f t="shared" si="33"/>
        <v>6</v>
      </c>
      <c r="Q37" s="1">
        <f t="shared" si="33"/>
        <v>6</v>
      </c>
      <c r="R37" s="1">
        <f t="shared" si="33"/>
        <v>5</v>
      </c>
      <c r="S37" s="1">
        <f t="shared" si="33"/>
        <v>6</v>
      </c>
      <c r="T37" s="1">
        <f t="shared" si="33"/>
        <v>4</v>
      </c>
      <c r="U37" s="9">
        <f t="shared" si="28"/>
        <v>91</v>
      </c>
    </row>
    <row r="38" spans="1:22" x14ac:dyDescent="0.2">
      <c r="A38" s="22" t="s">
        <v>10</v>
      </c>
      <c r="B38" s="23">
        <v>15</v>
      </c>
      <c r="C38" s="6">
        <f t="shared" ref="C38:T38" si="34">C14+IF(C26="●",-1)+IF(C26="●●",-2)</f>
        <v>6</v>
      </c>
      <c r="D38" s="6">
        <f t="shared" si="34"/>
        <v>3</v>
      </c>
      <c r="E38" s="6">
        <f t="shared" si="34"/>
        <v>6</v>
      </c>
      <c r="F38" s="6">
        <f t="shared" si="34"/>
        <v>6</v>
      </c>
      <c r="G38" s="6">
        <f t="shared" si="34"/>
        <v>6</v>
      </c>
      <c r="H38" s="6">
        <f t="shared" si="34"/>
        <v>6</v>
      </c>
      <c r="I38" s="6">
        <f t="shared" si="34"/>
        <v>6</v>
      </c>
      <c r="J38" s="6">
        <f t="shared" si="34"/>
        <v>6</v>
      </c>
      <c r="K38" s="6">
        <f t="shared" si="34"/>
        <v>0</v>
      </c>
      <c r="L38" s="6">
        <f t="shared" si="34"/>
        <v>6</v>
      </c>
      <c r="M38" s="6">
        <f t="shared" si="34"/>
        <v>6</v>
      </c>
      <c r="N38" s="6">
        <f t="shared" si="34"/>
        <v>6</v>
      </c>
      <c r="O38" s="6">
        <f t="shared" si="34"/>
        <v>6</v>
      </c>
      <c r="P38" s="6">
        <f t="shared" si="34"/>
        <v>6</v>
      </c>
      <c r="Q38" s="6">
        <f t="shared" si="34"/>
        <v>6</v>
      </c>
      <c r="R38" s="6">
        <f t="shared" si="34"/>
        <v>6</v>
      </c>
      <c r="S38" s="6">
        <f t="shared" si="34"/>
        <v>6</v>
      </c>
      <c r="T38" s="6">
        <f t="shared" si="34"/>
        <v>3</v>
      </c>
      <c r="U38" s="10">
        <f t="shared" si="28"/>
        <v>96</v>
      </c>
    </row>
    <row r="41" spans="1:22" x14ac:dyDescent="0.2">
      <c r="A41" s="17"/>
      <c r="B41" s="30"/>
      <c r="C41" s="25">
        <f>C28</f>
        <v>1</v>
      </c>
      <c r="D41" s="25">
        <f t="shared" ref="D41:T43" si="35">D28</f>
        <v>2</v>
      </c>
      <c r="E41" s="25">
        <f t="shared" si="35"/>
        <v>3</v>
      </c>
      <c r="F41" s="25">
        <f t="shared" si="35"/>
        <v>4</v>
      </c>
      <c r="G41" s="25">
        <f t="shared" si="35"/>
        <v>5</v>
      </c>
      <c r="H41" s="25">
        <f t="shared" si="35"/>
        <v>6</v>
      </c>
      <c r="I41" s="25">
        <f t="shared" si="35"/>
        <v>7</v>
      </c>
      <c r="J41" s="25">
        <f t="shared" si="35"/>
        <v>8</v>
      </c>
      <c r="K41" s="25">
        <f t="shared" si="35"/>
        <v>9</v>
      </c>
      <c r="L41" s="25">
        <f t="shared" si="35"/>
        <v>10</v>
      </c>
      <c r="M41" s="25">
        <f t="shared" si="35"/>
        <v>11</v>
      </c>
      <c r="N41" s="25">
        <f t="shared" si="35"/>
        <v>12</v>
      </c>
      <c r="O41" s="25">
        <f t="shared" si="35"/>
        <v>13</v>
      </c>
      <c r="P41" s="25">
        <f t="shared" si="35"/>
        <v>14</v>
      </c>
      <c r="Q41" s="25">
        <f t="shared" si="35"/>
        <v>15</v>
      </c>
      <c r="R41" s="25">
        <f t="shared" si="35"/>
        <v>16</v>
      </c>
      <c r="S41" s="25">
        <f t="shared" si="35"/>
        <v>17</v>
      </c>
      <c r="T41" s="25">
        <f t="shared" si="35"/>
        <v>18</v>
      </c>
      <c r="U41" s="26" t="s">
        <v>2</v>
      </c>
      <c r="V41" s="31" t="s">
        <v>33</v>
      </c>
    </row>
    <row r="42" spans="1:22" x14ac:dyDescent="0.2">
      <c r="A42" s="19"/>
      <c r="B42" s="20"/>
      <c r="C42" s="27">
        <f t="shared" ref="C42:R43" si="36">C29</f>
        <v>4</v>
      </c>
      <c r="D42" s="27">
        <f t="shared" si="36"/>
        <v>3</v>
      </c>
      <c r="E42" s="27">
        <f t="shared" si="36"/>
        <v>4</v>
      </c>
      <c r="F42" s="27">
        <f t="shared" si="36"/>
        <v>4</v>
      </c>
      <c r="G42" s="27">
        <f t="shared" si="36"/>
        <v>4</v>
      </c>
      <c r="H42" s="27">
        <f t="shared" si="36"/>
        <v>5</v>
      </c>
      <c r="I42" s="27">
        <f t="shared" si="36"/>
        <v>3</v>
      </c>
      <c r="J42" s="27">
        <f t="shared" si="36"/>
        <v>4</v>
      </c>
      <c r="K42" s="27">
        <f t="shared" si="36"/>
        <v>5</v>
      </c>
      <c r="L42" s="27">
        <f t="shared" si="36"/>
        <v>4</v>
      </c>
      <c r="M42" s="27">
        <f t="shared" si="36"/>
        <v>5</v>
      </c>
      <c r="N42" s="27">
        <f t="shared" si="36"/>
        <v>4</v>
      </c>
      <c r="O42" s="27">
        <f t="shared" si="36"/>
        <v>4</v>
      </c>
      <c r="P42" s="27">
        <f t="shared" si="36"/>
        <v>3</v>
      </c>
      <c r="Q42" s="27">
        <f t="shared" si="36"/>
        <v>5</v>
      </c>
      <c r="R42" s="27">
        <f t="shared" si="36"/>
        <v>4</v>
      </c>
      <c r="S42" s="27">
        <f t="shared" si="35"/>
        <v>3</v>
      </c>
      <c r="T42" s="27">
        <f t="shared" si="35"/>
        <v>4</v>
      </c>
      <c r="U42" s="20"/>
    </row>
    <row r="43" spans="1:22" x14ac:dyDescent="0.2">
      <c r="A43" s="19"/>
      <c r="B43" s="20"/>
      <c r="C43" s="28">
        <f t="shared" si="36"/>
        <v>16</v>
      </c>
      <c r="D43" s="28">
        <f t="shared" si="35"/>
        <v>8</v>
      </c>
      <c r="E43" s="28">
        <f t="shared" si="35"/>
        <v>2</v>
      </c>
      <c r="F43" s="28">
        <f t="shared" si="35"/>
        <v>18</v>
      </c>
      <c r="G43" s="28">
        <f t="shared" si="35"/>
        <v>4</v>
      </c>
      <c r="H43" s="28">
        <f t="shared" si="35"/>
        <v>12</v>
      </c>
      <c r="I43" s="28">
        <f t="shared" si="35"/>
        <v>6</v>
      </c>
      <c r="J43" s="28">
        <f t="shared" si="35"/>
        <v>10</v>
      </c>
      <c r="K43" s="28">
        <f t="shared" si="35"/>
        <v>14</v>
      </c>
      <c r="L43" s="28">
        <f t="shared" si="35"/>
        <v>11</v>
      </c>
      <c r="M43" s="28">
        <f t="shared" si="35"/>
        <v>1</v>
      </c>
      <c r="N43" s="28">
        <f t="shared" si="35"/>
        <v>5</v>
      </c>
      <c r="O43" s="28">
        <f t="shared" si="35"/>
        <v>15</v>
      </c>
      <c r="P43" s="28">
        <f t="shared" si="35"/>
        <v>13</v>
      </c>
      <c r="Q43" s="28">
        <f t="shared" si="35"/>
        <v>7</v>
      </c>
      <c r="R43" s="28">
        <f t="shared" si="35"/>
        <v>17</v>
      </c>
      <c r="S43" s="28">
        <f t="shared" si="35"/>
        <v>3</v>
      </c>
      <c r="T43" s="28">
        <f t="shared" si="35"/>
        <v>9</v>
      </c>
      <c r="U43" s="29"/>
    </row>
    <row r="44" spans="1:22" x14ac:dyDescent="0.2">
      <c r="A44" s="19"/>
      <c r="B44" s="21" t="s">
        <v>34</v>
      </c>
      <c r="C44" s="2">
        <f t="array" ref="C44">IFERROR(SMALL(IF(FREQUENCY(C$31:C$38, C$31:C$38)&gt;0, C$31:C$38), ROW(A1)),"")</f>
        <v>1</v>
      </c>
      <c r="D44" s="3">
        <f t="array" ref="D44">IFERROR(SMALL(IF(FREQUENCY(D$31:D$38, D$31:D$38)&gt;0, D$31:D$38), ROW(B1)),"")</f>
        <v>1</v>
      </c>
      <c r="E44" s="3">
        <f t="array" ref="E44">IFERROR(SMALL(IF(FREQUENCY(E$31:E$38, E$31:E$38)&gt;0, E$31:E$38), ROW(C1)),"")</f>
        <v>2</v>
      </c>
      <c r="F44" s="3">
        <f t="array" ref="F44">IFERROR(SMALL(IF(FREQUENCY(F$31:F$38, F$31:F$38)&gt;0, F$31:F$38), ROW(D1)),"")</f>
        <v>1</v>
      </c>
      <c r="G44" s="3">
        <f t="array" ref="G44">IFERROR(SMALL(IF(FREQUENCY(G$31:G$38, G$31:G$38)&gt;0, G$31:G$38), ROW(E1)),"")</f>
        <v>1</v>
      </c>
      <c r="H44" s="3">
        <f t="array" ref="H44">IFERROR(SMALL(IF(FREQUENCY(H$31:H$38, H$31:H$38)&gt;0, H$31:H$38), ROW(F1)),"")</f>
        <v>0</v>
      </c>
      <c r="I44" s="3">
        <f t="array" ref="I44">IFERROR(SMALL(IF(FREQUENCY(I$31:I$38, I$31:I$38)&gt;0, I$31:I$38), ROW(G1)),"")</f>
        <v>0</v>
      </c>
      <c r="J44" s="3">
        <f t="array" ref="J44">IFERROR(SMALL(IF(FREQUENCY(J$31:J$38, J$31:J$38)&gt;0, J$31:J$38), ROW(H1)),"")</f>
        <v>0</v>
      </c>
      <c r="K44" s="3">
        <f t="array" ref="K44">IFERROR(SMALL(IF(FREQUENCY(K$31:K$38, K$31:K$38)&gt;0, K$31:K$38), ROW(I1)),"")</f>
        <v>0</v>
      </c>
      <c r="L44" s="3">
        <f t="array" ref="L44">IFERROR(SMALL(IF(FREQUENCY(L$31:L$38, L$31:L$38)&gt;0, L$31:L$38), ROW(J1)),"")</f>
        <v>1</v>
      </c>
      <c r="M44" s="3">
        <f t="array" ref="M44">IFERROR(SMALL(IF(FREQUENCY(M$31:M$38, M$31:M$38)&gt;0, M$31:M$38), ROW(K1)),"")</f>
        <v>1</v>
      </c>
      <c r="N44" s="3">
        <f t="array" ref="N44">IFERROR(SMALL(IF(FREQUENCY(N$31:N$38, N$31:N$38)&gt;0, N$31:N$38), ROW(L1)),"")</f>
        <v>1</v>
      </c>
      <c r="O44" s="3">
        <f t="array" ref="O44">IFERROR(SMALL(IF(FREQUENCY(O$31:O$38, O$31:O$38)&gt;0, O$31:O$38), ROW(M1)),"")</f>
        <v>1</v>
      </c>
      <c r="P44" s="3">
        <f t="array" ref="P44">IFERROR(SMALL(IF(FREQUENCY(P$31:P$38, P$31:P$38)&gt;0, P$31:P$38), ROW(N1)),"")</f>
        <v>1</v>
      </c>
      <c r="Q44" s="3">
        <f t="array" ref="Q44">IFERROR(SMALL(IF(FREQUENCY(Q$31:Q$38, Q$31:Q$38)&gt;0, Q$31:Q$38), ROW(O1)),"")</f>
        <v>3</v>
      </c>
      <c r="R44" s="3">
        <f t="array" ref="R44">IFERROR(SMALL(IF(FREQUENCY(R$31:R$38, R$31:R$38)&gt;0, R$31:R$38), ROW(P1)),"")</f>
        <v>3</v>
      </c>
      <c r="S44" s="3">
        <f t="array" ref="S44">IFERROR(SMALL(IF(FREQUENCY(S$31:S$38, S$31:S$38)&gt;0, S$31:S$38), ROW(Q1)),"")</f>
        <v>3</v>
      </c>
      <c r="T44" s="3">
        <f t="array" ref="T44">IFERROR(SMALL(IF(FREQUENCY(T$31:T$38, T$31:T$38)&gt;0, T$31:T$38), ROW(R1)),"")</f>
        <v>3</v>
      </c>
      <c r="U44" s="4"/>
    </row>
    <row r="45" spans="1:22" x14ac:dyDescent="0.2">
      <c r="A45" s="19"/>
      <c r="B45" s="21" t="s">
        <v>35</v>
      </c>
      <c r="C45" s="11">
        <f t="array" ref="C45">IFERROR(SMALL(IF(FREQUENCY(C$31:C$38, C$31:C$38)&gt;0, C$31:C$38), ROW(A2)),"")</f>
        <v>3</v>
      </c>
      <c r="D45" s="1">
        <f t="array" ref="D45">IFERROR(SMALL(IF(FREQUENCY(D$31:D$38, D$31:D$38)&gt;0, D$31:D$38), ROW(B2)),"")</f>
        <v>2</v>
      </c>
      <c r="E45" s="1">
        <f t="array" ref="E45">IFERROR(SMALL(IF(FREQUENCY(E$31:E$38, E$31:E$38)&gt;0, E$31:E$38), ROW(C2)),"")</f>
        <v>3</v>
      </c>
      <c r="F45" s="1">
        <f t="array" ref="F45">IFERROR(SMALL(IF(FREQUENCY(F$31:F$38, F$31:F$38)&gt;0, F$31:F$38), ROW(D2)),"")</f>
        <v>2</v>
      </c>
      <c r="G45" s="1">
        <f t="array" ref="G45">IFERROR(SMALL(IF(FREQUENCY(G$31:G$38, G$31:G$38)&gt;0, G$31:G$38), ROW(E2)),"")</f>
        <v>2</v>
      </c>
      <c r="H45" s="1">
        <f t="array" ref="H45">IFERROR(SMALL(IF(FREQUENCY(H$31:H$38, H$31:H$38)&gt;0, H$31:H$38), ROW(F2)),"")</f>
        <v>1</v>
      </c>
      <c r="I45" s="1">
        <f t="array" ref="I45">IFERROR(SMALL(IF(FREQUENCY(I$31:I$38, I$31:I$38)&gt;0, I$31:I$38), ROW(G2)),"")</f>
        <v>1</v>
      </c>
      <c r="J45" s="1">
        <f t="array" ref="J45">IFERROR(SMALL(IF(FREQUENCY(J$31:J$38, J$31:J$38)&gt;0, J$31:J$38), ROW(H2)),"")</f>
        <v>1</v>
      </c>
      <c r="K45" s="1">
        <f t="array" ref="K45">IFERROR(SMALL(IF(FREQUENCY(K$31:K$38, K$31:K$38)&gt;0, K$31:K$38), ROW(I2)),"")</f>
        <v>1</v>
      </c>
      <c r="L45" s="1">
        <f t="array" ref="L45">IFERROR(SMALL(IF(FREQUENCY(L$31:L$38, L$31:L$38)&gt;0, L$31:L$38), ROW(J2)),"")</f>
        <v>3</v>
      </c>
      <c r="M45" s="1">
        <f t="array" ref="M45">IFERROR(SMALL(IF(FREQUENCY(M$31:M$38, M$31:M$38)&gt;0, M$31:M$38), ROW(K2)),"")</f>
        <v>3</v>
      </c>
      <c r="N45" s="1">
        <f t="array" ref="N45">IFERROR(SMALL(IF(FREQUENCY(N$31:N$38, N$31:N$38)&gt;0, N$31:N$38), ROW(L2)),"")</f>
        <v>3</v>
      </c>
      <c r="O45" s="1">
        <f t="array" ref="O45">IFERROR(SMALL(IF(FREQUENCY(O$31:O$38, O$31:O$38)&gt;0, O$31:O$38), ROW(M2)),"")</f>
        <v>3</v>
      </c>
      <c r="P45" s="1">
        <f t="array" ref="P45">IFERROR(SMALL(IF(FREQUENCY(P$31:P$38, P$31:P$38)&gt;0, P$31:P$38), ROW(N2)),"")</f>
        <v>3</v>
      </c>
      <c r="Q45" s="1">
        <f t="array" ref="Q45">IFERROR(SMALL(IF(FREQUENCY(Q$31:Q$38, Q$31:Q$38)&gt;0, Q$31:Q$38), ROW(O2)),"")</f>
        <v>4</v>
      </c>
      <c r="R45" s="1">
        <f t="array" ref="R45">IFERROR(SMALL(IF(FREQUENCY(R$31:R$38, R$31:R$38)&gt;0, R$31:R$38), ROW(P2)),"")</f>
        <v>5</v>
      </c>
      <c r="S45" s="1">
        <f t="array" ref="S45">IFERROR(SMALL(IF(FREQUENCY(S$31:S$38, S$31:S$38)&gt;0, S$31:S$38), ROW(Q2)),"")</f>
        <v>5</v>
      </c>
      <c r="T45" s="1">
        <f t="array" ref="T45">IFERROR(SMALL(IF(FREQUENCY(T$31:T$38, T$31:T$38)&gt;0, T$31:T$38), ROW(R2)),"")</f>
        <v>4</v>
      </c>
      <c r="U45" s="9"/>
    </row>
    <row r="46" spans="1:22" x14ac:dyDescent="0.2">
      <c r="A46" s="19"/>
      <c r="B46" s="21" t="s">
        <v>36</v>
      </c>
      <c r="C46" s="11">
        <f t="array" ref="C46">IFERROR(SMALL(IF(FREQUENCY(C$31:C$38, C$31:C$38)&gt;0, C$31:C$38), ROW(A3)),"")</f>
        <v>6</v>
      </c>
      <c r="D46" s="1">
        <f t="array" ref="D46">IFERROR(SMALL(IF(FREQUENCY(D$31:D$38, D$31:D$38)&gt;0, D$31:D$38), ROW(B3)),"")</f>
        <v>3</v>
      </c>
      <c r="E46" s="1">
        <f t="array" ref="E46">IFERROR(SMALL(IF(FREQUENCY(E$31:E$38, E$31:E$38)&gt;0, E$31:E$38), ROW(C3)),"")</f>
        <v>5</v>
      </c>
      <c r="F46" s="1">
        <f t="array" ref="F46">IFERROR(SMALL(IF(FREQUENCY(F$31:F$38, F$31:F$38)&gt;0, F$31:F$38), ROW(D3)),"")</f>
        <v>3</v>
      </c>
      <c r="G46" s="1">
        <f t="array" ref="G46">IFERROR(SMALL(IF(FREQUENCY(G$31:G$38, G$31:G$38)&gt;0, G$31:G$38), ROW(E3)),"")</f>
        <v>3</v>
      </c>
      <c r="H46" s="1">
        <f t="array" ref="H46">IFERROR(SMALL(IF(FREQUENCY(H$31:H$38, H$31:H$38)&gt;0, H$31:H$38), ROW(F3)),"")</f>
        <v>3</v>
      </c>
      <c r="I46" s="1">
        <f t="array" ref="I46">IFERROR(SMALL(IF(FREQUENCY(I$31:I$38, I$31:I$38)&gt;0, I$31:I$38), ROW(G3)),"")</f>
        <v>3</v>
      </c>
      <c r="J46" s="1">
        <f t="array" ref="J46">IFERROR(SMALL(IF(FREQUENCY(J$31:J$38, J$31:J$38)&gt;0, J$31:J$38), ROW(H3)),"")</f>
        <v>3</v>
      </c>
      <c r="K46" s="1">
        <f t="array" ref="K46">IFERROR(SMALL(IF(FREQUENCY(K$31:K$38, K$31:K$38)&gt;0, K$31:K$38), ROW(I3)),"")</f>
        <v>3</v>
      </c>
      <c r="L46" s="1">
        <f t="array" ref="L46">IFERROR(SMALL(IF(FREQUENCY(L$31:L$38, L$31:L$38)&gt;0, L$31:L$38), ROW(J3)),"")</f>
        <v>4</v>
      </c>
      <c r="M46" s="1">
        <f t="array" ref="M46">IFERROR(SMALL(IF(FREQUENCY(M$31:M$38, M$31:M$38)&gt;0, M$31:M$38), ROW(K3)),"")</f>
        <v>4</v>
      </c>
      <c r="N46" s="1">
        <f t="array" ref="N46">IFERROR(SMALL(IF(FREQUENCY(N$31:N$38, N$31:N$38)&gt;0, N$31:N$38), ROW(L3)),"")</f>
        <v>4</v>
      </c>
      <c r="O46" s="1">
        <f t="array" ref="O46">IFERROR(SMALL(IF(FREQUENCY(O$31:O$38, O$31:O$38)&gt;0, O$31:O$38), ROW(M3)),"")</f>
        <v>4</v>
      </c>
      <c r="P46" s="1">
        <f t="array" ref="P46">IFERROR(SMALL(IF(FREQUENCY(P$31:P$38, P$31:P$38)&gt;0, P$31:P$38), ROW(N3)),"")</f>
        <v>4</v>
      </c>
      <c r="Q46" s="1">
        <f t="array" ref="Q46">IFERROR(SMALL(IF(FREQUENCY(Q$31:Q$38, Q$31:Q$38)&gt;0, Q$31:Q$38), ROW(O3)),"")</f>
        <v>5</v>
      </c>
      <c r="R46" s="1">
        <f t="array" ref="R46">IFERROR(SMALL(IF(FREQUENCY(R$31:R$38, R$31:R$38)&gt;0, R$31:R$38), ROW(P3)),"")</f>
        <v>6</v>
      </c>
      <c r="S46" s="1">
        <f t="array" ref="S46">IFERROR(SMALL(IF(FREQUENCY(S$31:S$38, S$31:S$38)&gt;0, S$31:S$38), ROW(Q3)),"")</f>
        <v>6</v>
      </c>
      <c r="T46" s="1">
        <f t="array" ref="T46">IFERROR(SMALL(IF(FREQUENCY(T$31:T$38, T$31:T$38)&gt;0, T$31:T$38), ROW(R3)),"")</f>
        <v>5</v>
      </c>
      <c r="U46" s="9"/>
    </row>
    <row r="47" spans="1:22" x14ac:dyDescent="0.2">
      <c r="A47" s="19"/>
      <c r="B47" s="21"/>
      <c r="C47" s="11">
        <f t="array" ref="C47">IFERROR(SMALL(IF(FREQUENCY(C$31:C$38, C$31:C$38)&gt;0, C$31:C$38), ROW(A4)),"")</f>
        <v>7</v>
      </c>
      <c r="D47" s="1">
        <f t="array" ref="D47">IFERROR(SMALL(IF(FREQUENCY(D$31:D$38, D$31:D$38)&gt;0, D$31:D$38), ROW(B4)),"")</f>
        <v>4</v>
      </c>
      <c r="E47" s="1">
        <f t="array" ref="E47">IFERROR(SMALL(IF(FREQUENCY(E$31:E$38, E$31:E$38)&gt;0, E$31:E$38), ROW(C4)),"")</f>
        <v>6</v>
      </c>
      <c r="F47" s="1">
        <f t="array" ref="F47">IFERROR(SMALL(IF(FREQUENCY(F$31:F$38, F$31:F$38)&gt;0, F$31:F$38), ROW(D4)),"")</f>
        <v>6</v>
      </c>
      <c r="G47" s="1">
        <f t="array" ref="G47">IFERROR(SMALL(IF(FREQUENCY(G$31:G$38, G$31:G$38)&gt;0, G$31:G$38), ROW(E4)),"")</f>
        <v>6</v>
      </c>
      <c r="H47" s="1">
        <f t="array" ref="H47">IFERROR(SMALL(IF(FREQUENCY(H$31:H$38, H$31:H$38)&gt;0, H$31:H$38), ROW(F4)),"")</f>
        <v>6</v>
      </c>
      <c r="I47" s="1">
        <f t="array" ref="I47">IFERROR(SMALL(IF(FREQUENCY(I$31:I$38, I$31:I$38)&gt;0, I$31:I$38), ROW(G4)),"")</f>
        <v>6</v>
      </c>
      <c r="J47" s="1">
        <f t="array" ref="J47">IFERROR(SMALL(IF(FREQUENCY(J$31:J$38, J$31:J$38)&gt;0, J$31:J$38), ROW(H4)),"")</f>
        <v>6</v>
      </c>
      <c r="K47" s="1">
        <f t="array" ref="K47">IFERROR(SMALL(IF(FREQUENCY(K$31:K$38, K$31:K$38)&gt;0, K$31:K$38), ROW(I4)),"")</f>
        <v>6</v>
      </c>
      <c r="L47" s="1">
        <f t="array" ref="L47">IFERROR(SMALL(IF(FREQUENCY(L$31:L$38, L$31:L$38)&gt;0, L$31:L$38), ROW(J4)),"")</f>
        <v>6</v>
      </c>
      <c r="M47" s="1">
        <f t="array" ref="M47">IFERROR(SMALL(IF(FREQUENCY(M$31:M$38, M$31:M$38)&gt;0, M$31:M$38), ROW(K4)),"")</f>
        <v>6</v>
      </c>
      <c r="N47" s="1">
        <f t="array" ref="N47">IFERROR(SMALL(IF(FREQUENCY(N$31:N$38, N$31:N$38)&gt;0, N$31:N$38), ROW(L4)),"")</f>
        <v>6</v>
      </c>
      <c r="O47" s="1">
        <f t="array" ref="O47">IFERROR(SMALL(IF(FREQUENCY(O$31:O$38, O$31:O$38)&gt;0, O$31:O$38), ROW(M4)),"")</f>
        <v>6</v>
      </c>
      <c r="P47" s="1">
        <f t="array" ref="P47">IFERROR(SMALL(IF(FREQUENCY(P$31:P$38, P$31:P$38)&gt;0, P$31:P$38), ROW(N4)),"")</f>
        <v>6</v>
      </c>
      <c r="Q47" s="1">
        <f t="array" ref="Q47">IFERROR(SMALL(IF(FREQUENCY(Q$31:Q$38, Q$31:Q$38)&gt;0, Q$31:Q$38), ROW(O4)),"")</f>
        <v>6</v>
      </c>
      <c r="R47" s="1">
        <f t="array" ref="R47">IFERROR(SMALL(IF(FREQUENCY(R$31:R$38, R$31:R$38)&gt;0, R$31:R$38), ROW(P4)),"")</f>
        <v>7</v>
      </c>
      <c r="S47" s="1">
        <f t="array" ref="S47">IFERROR(SMALL(IF(FREQUENCY(S$31:S$38, S$31:S$38)&gt;0, S$31:S$38), ROW(Q4)),"")</f>
        <v>7</v>
      </c>
      <c r="T47" s="1">
        <f t="array" ref="T47">IFERROR(SMALL(IF(FREQUENCY(T$31:T$38, T$31:T$38)&gt;0, T$31:T$38), ROW(R4)),"")</f>
        <v>6</v>
      </c>
      <c r="U47" s="9"/>
    </row>
    <row r="48" spans="1:22" x14ac:dyDescent="0.2">
      <c r="A48" s="19"/>
      <c r="B48" s="21"/>
      <c r="C48" s="11" t="str">
        <f t="array" ref="C48">IFERROR(SMALL(IF(FREQUENCY(C$31:C$38, C$31:C$38)&gt;0, C$31:C$38), ROW(A5)),"")</f>
        <v/>
      </c>
      <c r="D48" s="1">
        <f t="array" ref="D48">IFERROR(SMALL(IF(FREQUENCY(D$31:D$38, D$31:D$38)&gt;0, D$31:D$38), ROW(B5)),"")</f>
        <v>5</v>
      </c>
      <c r="E48" s="1">
        <f t="array" ref="E48">IFERROR(SMALL(IF(FREQUENCY(E$31:E$38, E$31:E$38)&gt;0, E$31:E$38), ROW(C5)),"")</f>
        <v>7</v>
      </c>
      <c r="F48" s="1">
        <f t="array" ref="F48">IFERROR(SMALL(IF(FREQUENCY(F$31:F$38, F$31:F$38)&gt;0, F$31:F$38), ROW(D5)),"")</f>
        <v>7</v>
      </c>
      <c r="G48" s="1">
        <f t="array" ref="G48">IFERROR(SMALL(IF(FREQUENCY(G$31:G$38, G$31:G$38)&gt;0, G$31:G$38), ROW(E5)),"")</f>
        <v>7</v>
      </c>
      <c r="H48" s="1">
        <f t="array" ref="H48">IFERROR(SMALL(IF(FREQUENCY(H$31:H$38, H$31:H$38)&gt;0, H$31:H$38), ROW(F5)),"")</f>
        <v>7</v>
      </c>
      <c r="I48" s="1">
        <f t="array" ref="I48">IFERROR(SMALL(IF(FREQUENCY(I$31:I$38, I$31:I$38)&gt;0, I$31:I$38), ROW(G5)),"")</f>
        <v>7</v>
      </c>
      <c r="J48" s="1">
        <f t="array" ref="J48">IFERROR(SMALL(IF(FREQUENCY(J$31:J$38, J$31:J$38)&gt;0, J$31:J$38), ROW(H5)),"")</f>
        <v>7</v>
      </c>
      <c r="K48" s="1">
        <f t="array" ref="K48">IFERROR(SMALL(IF(FREQUENCY(K$31:K$38, K$31:K$38)&gt;0, K$31:K$38), ROW(I5)),"")</f>
        <v>8</v>
      </c>
      <c r="L48" s="1">
        <f t="array" ref="L48">IFERROR(SMALL(IF(FREQUENCY(L$31:L$38, L$31:L$38)&gt;0, L$31:L$38), ROW(J5)),"")</f>
        <v>7</v>
      </c>
      <c r="M48" s="1">
        <f t="array" ref="M48">IFERROR(SMALL(IF(FREQUENCY(M$31:M$38, M$31:M$38)&gt;0, M$31:M$38), ROW(K5)),"")</f>
        <v>7</v>
      </c>
      <c r="N48" s="1">
        <f t="array" ref="N48">IFERROR(SMALL(IF(FREQUENCY(N$31:N$38, N$31:N$38)&gt;0, N$31:N$38), ROW(L5)),"")</f>
        <v>7</v>
      </c>
      <c r="O48" s="1">
        <f t="array" ref="O48">IFERROR(SMALL(IF(FREQUENCY(O$31:O$38, O$31:O$38)&gt;0, O$31:O$38), ROW(M5)),"")</f>
        <v>7</v>
      </c>
      <c r="P48" s="1">
        <f t="array" ref="P48">IFERROR(SMALL(IF(FREQUENCY(P$31:P$38, P$31:P$38)&gt;0, P$31:P$38), ROW(N5)),"")</f>
        <v>7</v>
      </c>
      <c r="Q48" s="1">
        <f t="array" ref="Q48">IFERROR(SMALL(IF(FREQUENCY(Q$31:Q$38, Q$31:Q$38)&gt;0, Q$31:Q$38), ROW(O5)),"")</f>
        <v>7</v>
      </c>
      <c r="R48" s="1">
        <f t="array" ref="R48">IFERROR(SMALL(IF(FREQUENCY(R$31:R$38, R$31:R$38)&gt;0, R$31:R$38), ROW(P5)),"")</f>
        <v>8</v>
      </c>
      <c r="S48" s="1">
        <f t="array" ref="S48">IFERROR(SMALL(IF(FREQUENCY(S$31:S$38, S$31:S$38)&gt;0, S$31:S$38), ROW(Q5)),"")</f>
        <v>8</v>
      </c>
      <c r="T48" s="1">
        <f t="array" ref="T48">IFERROR(SMALL(IF(FREQUENCY(T$31:T$38, T$31:T$38)&gt;0, T$31:T$38), ROW(R5)),"")</f>
        <v>7</v>
      </c>
      <c r="U48" s="9"/>
    </row>
    <row r="49" spans="1:22" x14ac:dyDescent="0.2">
      <c r="A49" s="19"/>
      <c r="B49" s="21"/>
      <c r="C49" s="11" t="str">
        <f t="array" ref="C49">IFERROR(SMALL(IF(FREQUENCY(C$31:C$38, C$31:C$38)&gt;0, C$31:C$38), ROW(A6)),"")</f>
        <v/>
      </c>
      <c r="D49" s="1">
        <f t="array" ref="D49">IFERROR(SMALL(IF(FREQUENCY(D$31:D$38, D$31:D$38)&gt;0, D$31:D$38), ROW(B6)),"")</f>
        <v>6</v>
      </c>
      <c r="E49" s="1" t="str">
        <f t="array" ref="E49">IFERROR(SMALL(IF(FREQUENCY(E$31:E$38, E$31:E$38)&gt;0, E$31:E$38), ROW(C6)),"")</f>
        <v/>
      </c>
      <c r="F49" s="1" t="str">
        <f t="array" ref="F49">IFERROR(SMALL(IF(FREQUENCY(F$31:F$38, F$31:F$38)&gt;0, F$31:F$38), ROW(D6)),"")</f>
        <v/>
      </c>
      <c r="G49" s="1" t="str">
        <f t="array" ref="G49">IFERROR(SMALL(IF(FREQUENCY(G$31:G$38, G$31:G$38)&gt;0, G$31:G$38), ROW(E6)),"")</f>
        <v/>
      </c>
      <c r="H49" s="1" t="str">
        <f t="array" ref="H49">IFERROR(SMALL(IF(FREQUENCY(H$31:H$38, H$31:H$38)&gt;0, H$31:H$38), ROW(F6)),"")</f>
        <v/>
      </c>
      <c r="I49" s="1" t="str">
        <f t="array" ref="I49">IFERROR(SMALL(IF(FREQUENCY(I$31:I$38, I$31:I$38)&gt;0, I$31:I$38), ROW(G6)),"")</f>
        <v/>
      </c>
      <c r="J49" s="1" t="str">
        <f t="array" ref="J49">IFERROR(SMALL(IF(FREQUENCY(J$31:J$38, J$31:J$38)&gt;0, J$31:J$38), ROW(H6)),"")</f>
        <v/>
      </c>
      <c r="K49" s="1" t="str">
        <f t="array" ref="K49">IFERROR(SMALL(IF(FREQUENCY(K$31:K$38, K$31:K$38)&gt;0, K$31:K$38), ROW(I6)),"")</f>
        <v/>
      </c>
      <c r="L49" s="1">
        <f t="array" ref="L49">IFERROR(SMALL(IF(FREQUENCY(L$31:L$38, L$31:L$38)&gt;0, L$31:L$38), ROW(J6)),"")</f>
        <v>8</v>
      </c>
      <c r="M49" s="1">
        <f t="array" ref="M49">IFERROR(SMALL(IF(FREQUENCY(M$31:M$38, M$31:M$38)&gt;0, M$31:M$38), ROW(K6)),"")</f>
        <v>8</v>
      </c>
      <c r="N49" s="1">
        <f t="array" ref="N49">IFERROR(SMALL(IF(FREQUENCY(N$31:N$38, N$31:N$38)&gt;0, N$31:N$38), ROW(L6)),"")</f>
        <v>8</v>
      </c>
      <c r="O49" s="1">
        <f t="array" ref="O49">IFERROR(SMALL(IF(FREQUENCY(O$31:O$38, O$31:O$38)&gt;0, O$31:O$38), ROW(M6)),"")</f>
        <v>8</v>
      </c>
      <c r="P49" s="1">
        <f t="array" ref="P49">IFERROR(SMALL(IF(FREQUENCY(P$31:P$38, P$31:P$38)&gt;0, P$31:P$38), ROW(N6)),"")</f>
        <v>8</v>
      </c>
      <c r="Q49" s="1">
        <f t="array" ref="Q49">IFERROR(SMALL(IF(FREQUENCY(Q$31:Q$38, Q$31:Q$38)&gt;0, Q$31:Q$38), ROW(O6)),"")</f>
        <v>8</v>
      </c>
      <c r="R49" s="1" t="str">
        <f t="array" ref="R49">IFERROR(SMALL(IF(FREQUENCY(R$31:R$38, R$31:R$38)&gt;0, R$31:R$38), ROW(P6)),"")</f>
        <v/>
      </c>
      <c r="S49" s="1" t="str">
        <f t="array" ref="S49">IFERROR(SMALL(IF(FREQUENCY(S$31:S$38, S$31:S$38)&gt;0, S$31:S$38), ROW(Q6)),"")</f>
        <v/>
      </c>
      <c r="T49" s="1">
        <f t="array" ref="T49">IFERROR(SMALL(IF(FREQUENCY(T$31:T$38, T$31:T$38)&gt;0, T$31:T$38), ROW(R6)),"")</f>
        <v>8</v>
      </c>
      <c r="U49" s="9"/>
    </row>
    <row r="50" spans="1:22" x14ac:dyDescent="0.2">
      <c r="A50" s="19"/>
      <c r="B50" s="21"/>
      <c r="C50" s="11" t="str">
        <f t="array" ref="C50">IFERROR(SMALL(IF(FREQUENCY(C$31:C$38, C$31:C$38)&gt;0, C$31:C$38), ROW(A7)),"")</f>
        <v/>
      </c>
      <c r="D50" s="1">
        <f t="array" ref="D50">IFERROR(SMALL(IF(FREQUENCY(D$31:D$38, D$31:D$38)&gt;0, D$31:D$38), ROW(B7)),"")</f>
        <v>8</v>
      </c>
      <c r="E50" s="1" t="str">
        <f t="array" ref="E50">IFERROR(SMALL(IF(FREQUENCY(E$31:E$38, E$31:E$38)&gt;0, E$31:E$38), ROW(C7)),"")</f>
        <v/>
      </c>
      <c r="F50" s="1" t="str">
        <f t="array" ref="F50">IFERROR(SMALL(IF(FREQUENCY(F$31:F$38, F$31:F$38)&gt;0, F$31:F$38), ROW(D7)),"")</f>
        <v/>
      </c>
      <c r="G50" s="1" t="str">
        <f t="array" ref="G50">IFERROR(SMALL(IF(FREQUENCY(G$31:G$38, G$31:G$38)&gt;0, G$31:G$38), ROW(E7)),"")</f>
        <v/>
      </c>
      <c r="H50" s="1" t="str">
        <f t="array" ref="H50">IFERROR(SMALL(IF(FREQUENCY(H$31:H$38, H$31:H$38)&gt;0, H$31:H$38), ROW(F7)),"")</f>
        <v/>
      </c>
      <c r="I50" s="1" t="str">
        <f t="array" ref="I50">IFERROR(SMALL(IF(FREQUENCY(I$31:I$38, I$31:I$38)&gt;0, I$31:I$38), ROW(G7)),"")</f>
        <v/>
      </c>
      <c r="J50" s="1" t="str">
        <f t="array" ref="J50">IFERROR(SMALL(IF(FREQUENCY(J$31:J$38, J$31:J$38)&gt;0, J$31:J$38), ROW(H7)),"")</f>
        <v/>
      </c>
      <c r="K50" s="1" t="str">
        <f t="array" ref="K50">IFERROR(SMALL(IF(FREQUENCY(K$31:K$38, K$31:K$38)&gt;0, K$31:K$38), ROW(I7)),"")</f>
        <v/>
      </c>
      <c r="L50" s="1" t="str">
        <f t="array" ref="L50">IFERROR(SMALL(IF(FREQUENCY(L$31:L$38, L$31:L$38)&gt;0, L$31:L$38), ROW(J7)),"")</f>
        <v/>
      </c>
      <c r="M50" s="1" t="str">
        <f t="array" ref="M50">IFERROR(SMALL(IF(FREQUENCY(M$31:M$38, M$31:M$38)&gt;0, M$31:M$38), ROW(K7)),"")</f>
        <v/>
      </c>
      <c r="N50" s="1" t="str">
        <f t="array" ref="N50">IFERROR(SMALL(IF(FREQUENCY(N$31:N$38, N$31:N$38)&gt;0, N$31:N$38), ROW(L7)),"")</f>
        <v/>
      </c>
      <c r="O50" s="1" t="str">
        <f t="array" ref="O50">IFERROR(SMALL(IF(FREQUENCY(O$31:O$38, O$31:O$38)&gt;0, O$31:O$38), ROW(M7)),"")</f>
        <v/>
      </c>
      <c r="P50" s="1" t="str">
        <f t="array" ref="P50">IFERROR(SMALL(IF(FREQUENCY(P$31:P$38, P$31:P$38)&gt;0, P$31:P$38), ROW(N7)),"")</f>
        <v/>
      </c>
      <c r="Q50" s="1" t="str">
        <f t="array" ref="Q50">IFERROR(SMALL(IF(FREQUENCY(Q$31:Q$38, Q$31:Q$38)&gt;0, Q$31:Q$38), ROW(O7)),"")</f>
        <v/>
      </c>
      <c r="R50" s="1" t="str">
        <f t="array" ref="R50">IFERROR(SMALL(IF(FREQUENCY(R$31:R$38, R$31:R$38)&gt;0, R$31:R$38), ROW(P7)),"")</f>
        <v/>
      </c>
      <c r="S50" s="1" t="str">
        <f t="array" ref="S50">IFERROR(SMALL(IF(FREQUENCY(S$31:S$38, S$31:S$38)&gt;0, S$31:S$38), ROW(Q7)),"")</f>
        <v/>
      </c>
      <c r="T50" s="1" t="str">
        <f t="array" ref="T50">IFERROR(SMALL(IF(FREQUENCY(T$31:T$38, T$31:T$38)&gt;0, T$31:T$38), ROW(R7)),"")</f>
        <v/>
      </c>
      <c r="U50" s="9"/>
    </row>
    <row r="51" spans="1:22" x14ac:dyDescent="0.2">
      <c r="A51" s="22"/>
      <c r="B51" s="23"/>
      <c r="C51" s="5" t="str">
        <f t="array" ref="C51">IFERROR(SMALL(IF(FREQUENCY(C$31:C$38, C$31:C$38)&gt;0, C$31:C$38), ROW(A8)),"")</f>
        <v/>
      </c>
      <c r="D51" s="6" t="str">
        <f t="array" ref="D51">IFERROR(SMALL(IF(FREQUENCY(D$31:D$38, D$31:D$38)&gt;0, D$31:D$38), ROW(B8)),"")</f>
        <v/>
      </c>
      <c r="E51" s="6" t="str">
        <f t="array" ref="E51">IFERROR(SMALL(IF(FREQUENCY(E$31:E$38, E$31:E$38)&gt;0, E$31:E$38), ROW(C8)),"")</f>
        <v/>
      </c>
      <c r="F51" s="6" t="str">
        <f t="array" ref="F51">IFERROR(SMALL(IF(FREQUENCY(F$31:F$38, F$31:F$38)&gt;0, F$31:F$38), ROW(D8)),"")</f>
        <v/>
      </c>
      <c r="G51" s="6" t="str">
        <f t="array" ref="G51">IFERROR(SMALL(IF(FREQUENCY(G$31:G$38, G$31:G$38)&gt;0, G$31:G$38), ROW(E8)),"")</f>
        <v/>
      </c>
      <c r="H51" s="6" t="str">
        <f t="array" ref="H51">IFERROR(SMALL(IF(FREQUENCY(H$31:H$38, H$31:H$38)&gt;0, H$31:H$38), ROW(F8)),"")</f>
        <v/>
      </c>
      <c r="I51" s="6" t="str">
        <f t="array" ref="I51">IFERROR(SMALL(IF(FREQUENCY(I$31:I$38, I$31:I$38)&gt;0, I$31:I$38), ROW(G8)),"")</f>
        <v/>
      </c>
      <c r="J51" s="6" t="str">
        <f t="array" ref="J51">IFERROR(SMALL(IF(FREQUENCY(J$31:J$38, J$31:J$38)&gt;0, J$31:J$38), ROW(H8)),"")</f>
        <v/>
      </c>
      <c r="K51" s="6" t="str">
        <f t="array" ref="K51">IFERROR(SMALL(IF(FREQUENCY(K$31:K$38, K$31:K$38)&gt;0, K$31:K$38), ROW(I8)),"")</f>
        <v/>
      </c>
      <c r="L51" s="6" t="str">
        <f t="array" ref="L51">IFERROR(SMALL(IF(FREQUENCY(L$31:L$38, L$31:L$38)&gt;0, L$31:L$38), ROW(J8)),"")</f>
        <v/>
      </c>
      <c r="M51" s="6" t="str">
        <f t="array" ref="M51">IFERROR(SMALL(IF(FREQUENCY(M$31:M$38, M$31:M$38)&gt;0, M$31:M$38), ROW(K8)),"")</f>
        <v/>
      </c>
      <c r="N51" s="6" t="str">
        <f t="array" ref="N51">IFERROR(SMALL(IF(FREQUENCY(N$31:N$38, N$31:N$38)&gt;0, N$31:N$38), ROW(L8)),"")</f>
        <v/>
      </c>
      <c r="O51" s="6" t="str">
        <f t="array" ref="O51">IFERROR(SMALL(IF(FREQUENCY(O$31:O$38, O$31:O$38)&gt;0, O$31:O$38), ROW(M8)),"")</f>
        <v/>
      </c>
      <c r="P51" s="6" t="str">
        <f t="array" ref="P51">IFERROR(SMALL(IF(FREQUENCY(P$31:P$38, P$31:P$38)&gt;0, P$31:P$38), ROW(N8)),"")</f>
        <v/>
      </c>
      <c r="Q51" s="6" t="str">
        <f t="array" ref="Q51">IFERROR(SMALL(IF(FREQUENCY(Q$31:Q$38, Q$31:Q$38)&gt;0, Q$31:Q$38), ROW(O8)),"")</f>
        <v/>
      </c>
      <c r="R51" s="6" t="str">
        <f t="array" ref="R51">IFERROR(SMALL(IF(FREQUENCY(R$31:R$38, R$31:R$38)&gt;0, R$31:R$38), ROW(P8)),"")</f>
        <v/>
      </c>
      <c r="S51" s="6" t="str">
        <f t="array" ref="S51">IFERROR(SMALL(IF(FREQUENCY(S$31:S$38, S$31:S$38)&gt;0, S$31:S$38), ROW(Q8)),"")</f>
        <v/>
      </c>
      <c r="T51" s="6" t="str">
        <f t="array" ref="T51">IFERROR(SMALL(IF(FREQUENCY(T$31:T$38, T$31:T$38)&gt;0, T$31:T$38), ROW(R8)),"")</f>
        <v/>
      </c>
      <c r="U51" s="10"/>
    </row>
    <row r="53" spans="1:22" x14ac:dyDescent="0.2">
      <c r="A53" s="17"/>
      <c r="B53" s="30"/>
      <c r="C53" s="25">
        <f>C41</f>
        <v>1</v>
      </c>
      <c r="D53" s="25">
        <f t="shared" ref="D53:T55" si="37">D41</f>
        <v>2</v>
      </c>
      <c r="E53" s="25">
        <f t="shared" si="37"/>
        <v>3</v>
      </c>
      <c r="F53" s="25">
        <f t="shared" si="37"/>
        <v>4</v>
      </c>
      <c r="G53" s="25">
        <f t="shared" si="37"/>
        <v>5</v>
      </c>
      <c r="H53" s="25">
        <f t="shared" si="37"/>
        <v>6</v>
      </c>
      <c r="I53" s="25">
        <f t="shared" si="37"/>
        <v>7</v>
      </c>
      <c r="J53" s="25">
        <f t="shared" si="37"/>
        <v>8</v>
      </c>
      <c r="K53" s="25">
        <f t="shared" si="37"/>
        <v>9</v>
      </c>
      <c r="L53" s="25">
        <f t="shared" si="37"/>
        <v>10</v>
      </c>
      <c r="M53" s="25">
        <f t="shared" si="37"/>
        <v>11</v>
      </c>
      <c r="N53" s="25">
        <f t="shared" si="37"/>
        <v>12</v>
      </c>
      <c r="O53" s="25">
        <f t="shared" si="37"/>
        <v>13</v>
      </c>
      <c r="P53" s="25">
        <f t="shared" si="37"/>
        <v>14</v>
      </c>
      <c r="Q53" s="25">
        <f t="shared" si="37"/>
        <v>15</v>
      </c>
      <c r="R53" s="25">
        <f t="shared" si="37"/>
        <v>16</v>
      </c>
      <c r="S53" s="25">
        <f t="shared" si="37"/>
        <v>17</v>
      </c>
      <c r="T53" s="25">
        <f t="shared" si="37"/>
        <v>18</v>
      </c>
      <c r="U53" s="26" t="s">
        <v>2</v>
      </c>
      <c r="V53" s="31" t="s">
        <v>37</v>
      </c>
    </row>
    <row r="54" spans="1:22" x14ac:dyDescent="0.2">
      <c r="A54" s="19"/>
      <c r="B54" s="20"/>
      <c r="C54" s="27">
        <f t="shared" ref="C54:R55" si="38">C42</f>
        <v>4</v>
      </c>
      <c r="D54" s="27">
        <f t="shared" si="38"/>
        <v>3</v>
      </c>
      <c r="E54" s="27">
        <f t="shared" si="38"/>
        <v>4</v>
      </c>
      <c r="F54" s="27">
        <f t="shared" si="38"/>
        <v>4</v>
      </c>
      <c r="G54" s="27">
        <f t="shared" si="38"/>
        <v>4</v>
      </c>
      <c r="H54" s="27">
        <f t="shared" si="38"/>
        <v>5</v>
      </c>
      <c r="I54" s="27">
        <f t="shared" si="38"/>
        <v>3</v>
      </c>
      <c r="J54" s="27">
        <f t="shared" si="38"/>
        <v>4</v>
      </c>
      <c r="K54" s="27">
        <f t="shared" si="38"/>
        <v>5</v>
      </c>
      <c r="L54" s="27">
        <f t="shared" si="38"/>
        <v>4</v>
      </c>
      <c r="M54" s="27">
        <f t="shared" si="38"/>
        <v>5</v>
      </c>
      <c r="N54" s="27">
        <f t="shared" si="38"/>
        <v>4</v>
      </c>
      <c r="O54" s="27">
        <f t="shared" si="38"/>
        <v>4</v>
      </c>
      <c r="P54" s="27">
        <f t="shared" si="38"/>
        <v>3</v>
      </c>
      <c r="Q54" s="27">
        <f t="shared" si="38"/>
        <v>5</v>
      </c>
      <c r="R54" s="27">
        <f t="shared" si="38"/>
        <v>4</v>
      </c>
      <c r="S54" s="27">
        <f t="shared" si="37"/>
        <v>3</v>
      </c>
      <c r="T54" s="27">
        <f t="shared" si="37"/>
        <v>4</v>
      </c>
      <c r="U54" s="20"/>
    </row>
    <row r="55" spans="1:22" x14ac:dyDescent="0.2">
      <c r="A55" s="19"/>
      <c r="B55" s="20"/>
      <c r="C55" s="28">
        <f t="shared" si="38"/>
        <v>16</v>
      </c>
      <c r="D55" s="28">
        <f t="shared" si="37"/>
        <v>8</v>
      </c>
      <c r="E55" s="28">
        <f t="shared" si="37"/>
        <v>2</v>
      </c>
      <c r="F55" s="28">
        <f t="shared" si="37"/>
        <v>18</v>
      </c>
      <c r="G55" s="28">
        <f t="shared" si="37"/>
        <v>4</v>
      </c>
      <c r="H55" s="28">
        <f t="shared" si="37"/>
        <v>12</v>
      </c>
      <c r="I55" s="28">
        <f t="shared" si="37"/>
        <v>6</v>
      </c>
      <c r="J55" s="28">
        <f t="shared" si="37"/>
        <v>10</v>
      </c>
      <c r="K55" s="28">
        <f t="shared" si="37"/>
        <v>14</v>
      </c>
      <c r="L55" s="28">
        <f t="shared" si="37"/>
        <v>11</v>
      </c>
      <c r="M55" s="28">
        <f t="shared" si="37"/>
        <v>1</v>
      </c>
      <c r="N55" s="28">
        <f t="shared" si="37"/>
        <v>5</v>
      </c>
      <c r="O55" s="28">
        <f t="shared" si="37"/>
        <v>15</v>
      </c>
      <c r="P55" s="28">
        <f t="shared" si="37"/>
        <v>13</v>
      </c>
      <c r="Q55" s="28">
        <f t="shared" si="37"/>
        <v>7</v>
      </c>
      <c r="R55" s="28">
        <f t="shared" si="37"/>
        <v>17</v>
      </c>
      <c r="S55" s="28">
        <f t="shared" si="37"/>
        <v>3</v>
      </c>
      <c r="T55" s="28">
        <f t="shared" si="37"/>
        <v>9</v>
      </c>
      <c r="U55" s="29"/>
    </row>
    <row r="56" spans="1:22" x14ac:dyDescent="0.2">
      <c r="A56" s="19" t="s">
        <v>3</v>
      </c>
      <c r="B56" s="21">
        <f>B7</f>
        <v>18</v>
      </c>
      <c r="C56" s="2" cm="1">
        <f t="array" ref="C56">IF(C31 = INDEX($C$44:$T$44, COLUMN()-2), 3, 0)
+ IF(C31 = INDEX($C$45:$T$45, COLUMN()-2), 2, 0)
+ IF(C31 = INDEX($C$46:$T$46, COLUMN()-2), 1, 0)</f>
        <v>0</v>
      </c>
      <c r="D56" s="3" cm="1">
        <f t="array" ref="D56">IF(D31 = INDEX($C$44:$T$44, COLUMN()-2), 3, 0)
+ IF(D31 = INDEX($C$45:$T$45, COLUMN()-2), 2, 0)
+ IF(D31 = INDEX($C$46:$T$46, COLUMN()-2), 1, 0)</f>
        <v>3</v>
      </c>
      <c r="E56" s="3" cm="1">
        <f t="array" ref="E56">IF(E31 = INDEX($C$44:$T$44, COLUMN()-2), 3, 0)
+ IF(E31 = INDEX($C$45:$T$45, COLUMN()-2), 2, 0)
+ IF(E31 = INDEX($C$46:$T$46, COLUMN()-2), 1, 0)</f>
        <v>0</v>
      </c>
      <c r="F56" s="3" cm="1">
        <f t="array" ref="F56">IF(F31 = INDEX($C$44:$T$44, COLUMN()-2), 3, 0)
+ IF(F31 = INDEX($C$45:$T$45, COLUMN()-2), 2, 0)
+ IF(F31 = INDEX($C$46:$T$46, COLUMN()-2), 1, 0)</f>
        <v>0</v>
      </c>
      <c r="G56" s="3" cm="1">
        <f t="array" ref="G56">IF(G31 = INDEX($C$44:$T$44, COLUMN()-2), 3, 0)
+ IF(G31 = INDEX($C$45:$T$45, COLUMN()-2), 2, 0)
+ IF(G31 = INDEX($C$46:$T$46, COLUMN()-2), 1, 0)</f>
        <v>0</v>
      </c>
      <c r="H56" s="3" cm="1">
        <f t="array" ref="H56">IF(H31 = INDEX($C$44:$T$44, COLUMN()-2), 3, 0)
+ IF(H31 = INDEX($C$45:$T$45, COLUMN()-2), 2, 0)
+ IF(H31 = INDEX($C$46:$T$46, COLUMN()-2), 1, 0)</f>
        <v>0</v>
      </c>
      <c r="I56" s="3" cm="1">
        <f t="array" ref="I56">IF(I31 = INDEX($C$44:$T$44, COLUMN()-2), 3, 0)
+ IF(I31 = INDEX($C$45:$T$45, COLUMN()-2), 2, 0)
+ IF(I31 = INDEX($C$46:$T$46, COLUMN()-2), 1, 0)</f>
        <v>0</v>
      </c>
      <c r="J56" s="3" cm="1">
        <f t="array" ref="J56">IF(J31 = INDEX($C$44:$T$44, COLUMN()-2), 3, 0)
+ IF(J31 = INDEX($C$45:$T$45, COLUMN()-2), 2, 0)
+ IF(J31 = INDEX($C$46:$T$46, COLUMN()-2), 1, 0)</f>
        <v>0</v>
      </c>
      <c r="K56" s="3" cm="1">
        <f t="array" ref="K56">IF(K31 = INDEX($C$44:$T$44, COLUMN()-2), 3, 0)
+ IF(K31 = INDEX($C$45:$T$45, COLUMN()-2), 2, 0)
+ IF(K31 = INDEX($C$46:$T$46, COLUMN()-2), 1, 0)</f>
        <v>2</v>
      </c>
      <c r="L56" s="3" cm="1">
        <f t="array" ref="L56">IF(L31 = INDEX($C$44:$T$44, COLUMN()-2), 3, 0)
+ IF(L31 = INDEX($C$45:$T$45, COLUMN()-2), 2, 0)
+ IF(L31 = INDEX($C$46:$T$46, COLUMN()-2), 1, 0)</f>
        <v>0</v>
      </c>
      <c r="M56" s="3" cm="1">
        <f t="array" ref="M56">IF(M31 = INDEX($C$44:$T$44, COLUMN()-2), 3, 0)
+ IF(M31 = INDEX($C$45:$T$45, COLUMN()-2), 2, 0)
+ IF(M31 = INDEX($C$46:$T$46, COLUMN()-2), 1, 0)</f>
        <v>0</v>
      </c>
      <c r="N56" s="3" cm="1">
        <f t="array" ref="N56">IF(N31 = INDEX($C$44:$T$44, COLUMN()-2), 3, 0)
+ IF(N31 = INDEX($C$45:$T$45, COLUMN()-2), 2, 0)
+ IF(N31 = INDEX($C$46:$T$46, COLUMN()-2), 1, 0)</f>
        <v>0</v>
      </c>
      <c r="O56" s="3" cm="1">
        <f t="array" ref="O56">IF(O31 = INDEX($C$44:$T$44, COLUMN()-2), 3, 0)
+ IF(O31 = INDEX($C$45:$T$45, COLUMN()-2), 2, 0)
+ IF(O31 = INDEX($C$46:$T$46, COLUMN()-2), 1, 0)</f>
        <v>0</v>
      </c>
      <c r="P56" s="3" cm="1">
        <f t="array" ref="P56">IF(P31 = INDEX($C$44:$T$44, COLUMN()-2), 3, 0)
+ IF(P31 = INDEX($C$45:$T$45, COLUMN()-2), 2, 0)
+ IF(P31 = INDEX($C$46:$T$46, COLUMN()-2), 1, 0)</f>
        <v>0</v>
      </c>
      <c r="Q56" s="3" cm="1">
        <f t="array" ref="Q56">IF(Q31 = INDEX($C$44:$T$44, COLUMN()-2), 3, 0)
+ IF(Q31 = INDEX($C$45:$T$45, COLUMN()-2), 2, 0)
+ IF(Q31 = INDEX($C$46:$T$46, COLUMN()-2), 1, 0)</f>
        <v>0</v>
      </c>
      <c r="R56" s="3" cm="1">
        <f t="array" ref="R56">IF(R31 = INDEX($C$44:$T$44, COLUMN()-2), 3, 0)
+ IF(R31 = INDEX($C$45:$T$45, COLUMN()-2), 2, 0)
+ IF(R31 = INDEX($C$46:$T$46, COLUMN()-2), 1, 0)</f>
        <v>0</v>
      </c>
      <c r="S56" s="3" cm="1">
        <f t="array" ref="S56">IF(S31 = INDEX($C$44:$T$44, COLUMN()-2), 3, 0)
+ IF(S31 = INDEX($C$45:$T$45, COLUMN()-2), 2, 0)
+ IF(S31 = INDEX($C$46:$T$46, COLUMN()-2), 1, 0)</f>
        <v>0</v>
      </c>
      <c r="T56" s="3" cm="1">
        <f t="array" ref="T56">IF(T31 = INDEX($C$44:$T$44, COLUMN()-2), 3, 0)
+ IF(T31 = INDEX($C$45:$T$45, COLUMN()-2), 2, 0)
+ IF(T31 = INDEX($C$46:$T$46, COLUMN()-2), 1, 0)</f>
        <v>0</v>
      </c>
      <c r="U56" s="4">
        <f>SUM(C56:T56)</f>
        <v>5</v>
      </c>
    </row>
    <row r="57" spans="1:22" x14ac:dyDescent="0.2">
      <c r="A57" s="19" t="s">
        <v>4</v>
      </c>
      <c r="B57" s="21">
        <f t="shared" ref="B57:B63" si="39">B8</f>
        <v>18</v>
      </c>
      <c r="C57" s="11" cm="1">
        <f t="array" ref="C57">IF(C32 = INDEX($C$44:$T$44, COLUMN()-2), 3, 0)
+ IF(C32 = INDEX($C$45:$T$45, COLUMN()-2), 2, 0)
+ IF(C32 = INDEX($C$46:$T$46, COLUMN()-2), 1, 0)</f>
        <v>1</v>
      </c>
      <c r="D57" s="1" cm="1">
        <f t="array" ref="D57">IF(D32 = INDEX($C$44:$T$44, COLUMN()-2), 3, 0)
+ IF(D32 = INDEX($C$45:$T$45, COLUMN()-2), 2, 0)
+ IF(D32 = INDEX($C$46:$T$46, COLUMN()-2), 1, 0)</f>
        <v>0</v>
      </c>
      <c r="E57" s="1" cm="1">
        <f t="array" ref="E57">IF(E32 = INDEX($C$44:$T$44, COLUMN()-2), 3, 0)
+ IF(E32 = INDEX($C$45:$T$45, COLUMN()-2), 2, 0)
+ IF(E32 = INDEX($C$46:$T$46, COLUMN()-2), 1, 0)</f>
        <v>0</v>
      </c>
      <c r="F57" s="1" cm="1">
        <f t="array" ref="F57">IF(F32 = INDEX($C$44:$T$44, COLUMN()-2), 3, 0)
+ IF(F32 = INDEX($C$45:$T$45, COLUMN()-2), 2, 0)
+ IF(F32 = INDEX($C$46:$T$46, COLUMN()-2), 1, 0)</f>
        <v>0</v>
      </c>
      <c r="G57" s="1" cm="1">
        <f t="array" ref="G57">IF(G32 = INDEX($C$44:$T$44, COLUMN()-2), 3, 0)
+ IF(G32 = INDEX($C$45:$T$45, COLUMN()-2), 2, 0)
+ IF(G32 = INDEX($C$46:$T$46, COLUMN()-2), 1, 0)</f>
        <v>0</v>
      </c>
      <c r="H57" s="1" cm="1">
        <f t="array" ref="H57">IF(H32 = INDEX($C$44:$T$44, COLUMN()-2), 3, 0)
+ IF(H32 = INDEX($C$45:$T$45, COLUMN()-2), 2, 0)
+ IF(H32 = INDEX($C$46:$T$46, COLUMN()-2), 1, 0)</f>
        <v>3</v>
      </c>
      <c r="I57" s="1" cm="1">
        <f t="array" ref="I57">IF(I32 = INDEX($C$44:$T$44, COLUMN()-2), 3, 0)
+ IF(I32 = INDEX($C$45:$T$45, COLUMN()-2), 2, 0)
+ IF(I32 = INDEX($C$46:$T$46, COLUMN()-2), 1, 0)</f>
        <v>3</v>
      </c>
      <c r="J57" s="1" cm="1">
        <f t="array" ref="J57">IF(J32 = INDEX($C$44:$T$44, COLUMN()-2), 3, 0)
+ IF(J32 = INDEX($C$45:$T$45, COLUMN()-2), 2, 0)
+ IF(J32 = INDEX($C$46:$T$46, COLUMN()-2), 1, 0)</f>
        <v>3</v>
      </c>
      <c r="K57" s="1" cm="1">
        <f t="array" ref="K57">IF(K32 = INDEX($C$44:$T$44, COLUMN()-2), 3, 0)
+ IF(K32 = INDEX($C$45:$T$45, COLUMN()-2), 2, 0)
+ IF(K32 = INDEX($C$46:$T$46, COLUMN()-2), 1, 0)</f>
        <v>0</v>
      </c>
      <c r="L57" s="1" cm="1">
        <f t="array" ref="L57">IF(L32 = INDEX($C$44:$T$44, COLUMN()-2), 3, 0)
+ IF(L32 = INDEX($C$45:$T$45, COLUMN()-2), 2, 0)
+ IF(L32 = INDEX($C$46:$T$46, COLUMN()-2), 1, 0)</f>
        <v>0</v>
      </c>
      <c r="M57" s="1" cm="1">
        <f t="array" ref="M57">IF(M32 = INDEX($C$44:$T$44, COLUMN()-2), 3, 0)
+ IF(M32 = INDEX($C$45:$T$45, COLUMN()-2), 2, 0)
+ IF(M32 = INDEX($C$46:$T$46, COLUMN()-2), 1, 0)</f>
        <v>0</v>
      </c>
      <c r="N57" s="1" cm="1">
        <f t="array" ref="N57">IF(N32 = INDEX($C$44:$T$44, COLUMN()-2), 3, 0)
+ IF(N32 = INDEX($C$45:$T$45, COLUMN()-2), 2, 0)
+ IF(N32 = INDEX($C$46:$T$46, COLUMN()-2), 1, 0)</f>
        <v>0</v>
      </c>
      <c r="O57" s="1" cm="1">
        <f t="array" ref="O57">IF(O32 = INDEX($C$44:$T$44, COLUMN()-2), 3, 0)
+ IF(O32 = INDEX($C$45:$T$45, COLUMN()-2), 2, 0)
+ IF(O32 = INDEX($C$46:$T$46, COLUMN()-2), 1, 0)</f>
        <v>0</v>
      </c>
      <c r="P57" s="1" cm="1">
        <f t="array" ref="P57">IF(P32 = INDEX($C$44:$T$44, COLUMN()-2), 3, 0)
+ IF(P32 = INDEX($C$45:$T$45, COLUMN()-2), 2, 0)
+ IF(P32 = INDEX($C$46:$T$46, COLUMN()-2), 1, 0)</f>
        <v>0</v>
      </c>
      <c r="Q57" s="1" cm="1">
        <f t="array" ref="Q57">IF(Q32 = INDEX($C$44:$T$44, COLUMN()-2), 3, 0)
+ IF(Q32 = INDEX($C$45:$T$45, COLUMN()-2), 2, 0)
+ IF(Q32 = INDEX($C$46:$T$46, COLUMN()-2), 1, 0)</f>
        <v>0</v>
      </c>
      <c r="R57" s="1" cm="1">
        <f t="array" ref="R57">IF(R32 = INDEX($C$44:$T$44, COLUMN()-2), 3, 0)
+ IF(R32 = INDEX($C$45:$T$45, COLUMN()-2), 2, 0)
+ IF(R32 = INDEX($C$46:$T$46, COLUMN()-2), 1, 0)</f>
        <v>0</v>
      </c>
      <c r="S57" s="1" cm="1">
        <f t="array" ref="S57">IF(S32 = INDEX($C$44:$T$44, COLUMN()-2), 3, 0)
+ IF(S32 = INDEX($C$45:$T$45, COLUMN()-2), 2, 0)
+ IF(S32 = INDEX($C$46:$T$46, COLUMN()-2), 1, 0)</f>
        <v>0</v>
      </c>
      <c r="T57" s="1" cm="1">
        <f t="array" ref="T57">IF(T32 = INDEX($C$44:$T$44, COLUMN()-2), 3, 0)
+ IF(T32 = INDEX($C$45:$T$45, COLUMN()-2), 2, 0)
+ IF(T32 = INDEX($C$46:$T$46, COLUMN()-2), 1, 0)</f>
        <v>0</v>
      </c>
      <c r="U57" s="9">
        <f t="shared" ref="U57:U63" si="40">SUM(C57:T57)</f>
        <v>10</v>
      </c>
    </row>
    <row r="58" spans="1:22" x14ac:dyDescent="0.2">
      <c r="A58" s="19" t="s">
        <v>5</v>
      </c>
      <c r="B58" s="21">
        <f t="shared" si="39"/>
        <v>18</v>
      </c>
      <c r="C58" s="11" cm="1">
        <f t="array" ref="C58">IF(C33 = INDEX($C$44:$T$44, COLUMN()-2), 3, 0)
+ IF(C33 = INDEX($C$45:$T$45, COLUMN()-2), 2, 0)
+ IF(C33 = INDEX($C$46:$T$46, COLUMN()-2), 1, 0)</f>
        <v>2</v>
      </c>
      <c r="D58" s="1" cm="1">
        <f t="array" ref="D58">IF(D33 = INDEX($C$44:$T$44, COLUMN()-2), 3, 0)
+ IF(D33 = INDEX($C$45:$T$45, COLUMN()-2), 2, 0)
+ IF(D33 = INDEX($C$46:$T$46, COLUMN()-2), 1, 0)</f>
        <v>0</v>
      </c>
      <c r="E58" s="1" cm="1">
        <f t="array" ref="E58">IF(E33 = INDEX($C$44:$T$44, COLUMN()-2), 3, 0)
+ IF(E33 = INDEX($C$45:$T$45, COLUMN()-2), 2, 0)
+ IF(E33 = INDEX($C$46:$T$46, COLUMN()-2), 1, 0)</f>
        <v>3</v>
      </c>
      <c r="F58" s="1" cm="1">
        <f t="array" ref="F58">IF(F33 = INDEX($C$44:$T$44, COLUMN()-2), 3, 0)
+ IF(F33 = INDEX($C$45:$T$45, COLUMN()-2), 2, 0)
+ IF(F33 = INDEX($C$46:$T$46, COLUMN()-2), 1, 0)</f>
        <v>3</v>
      </c>
      <c r="G58" s="1" cm="1">
        <f t="array" ref="G58">IF(G33 = INDEX($C$44:$T$44, COLUMN()-2), 3, 0)
+ IF(G33 = INDEX($C$45:$T$45, COLUMN()-2), 2, 0)
+ IF(G33 = INDEX($C$46:$T$46, COLUMN()-2), 1, 0)</f>
        <v>1</v>
      </c>
      <c r="H58" s="1" cm="1">
        <f t="array" ref="H58">IF(H33 = INDEX($C$44:$T$44, COLUMN()-2), 3, 0)
+ IF(H33 = INDEX($C$45:$T$45, COLUMN()-2), 2, 0)
+ IF(H33 = INDEX($C$46:$T$46, COLUMN()-2), 1, 0)</f>
        <v>1</v>
      </c>
      <c r="I58" s="1" cm="1">
        <f t="array" ref="I58">IF(I33 = INDEX($C$44:$T$44, COLUMN()-2), 3, 0)
+ IF(I33 = INDEX($C$45:$T$45, COLUMN()-2), 2, 0)
+ IF(I33 = INDEX($C$46:$T$46, COLUMN()-2), 1, 0)</f>
        <v>1</v>
      </c>
      <c r="J58" s="1" cm="1">
        <f t="array" ref="J58">IF(J33 = INDEX($C$44:$T$44, COLUMN()-2), 3, 0)
+ IF(J33 = INDEX($C$45:$T$45, COLUMN()-2), 2, 0)
+ IF(J33 = INDEX($C$46:$T$46, COLUMN()-2), 1, 0)</f>
        <v>1</v>
      </c>
      <c r="K58" s="1" cm="1">
        <f t="array" ref="K58">IF(K33 = INDEX($C$44:$T$44, COLUMN()-2), 3, 0)
+ IF(K33 = INDEX($C$45:$T$45, COLUMN()-2), 2, 0)
+ IF(K33 = INDEX($C$46:$T$46, COLUMN()-2), 1, 0)</f>
        <v>1</v>
      </c>
      <c r="L58" s="1" cm="1">
        <f t="array" ref="L58">IF(L33 = INDEX($C$44:$T$44, COLUMN()-2), 3, 0)
+ IF(L33 = INDEX($C$45:$T$45, COLUMN()-2), 2, 0)
+ IF(L33 = INDEX($C$46:$T$46, COLUMN()-2), 1, 0)</f>
        <v>2</v>
      </c>
      <c r="M58" s="1" cm="1">
        <f t="array" ref="M58">IF(M33 = INDEX($C$44:$T$44, COLUMN()-2), 3, 0)
+ IF(M33 = INDEX($C$45:$T$45, COLUMN()-2), 2, 0)
+ IF(M33 = INDEX($C$46:$T$46, COLUMN()-2), 1, 0)</f>
        <v>2</v>
      </c>
      <c r="N58" s="1" cm="1">
        <f t="array" ref="N58">IF(N33 = INDEX($C$44:$T$44, COLUMN()-2), 3, 0)
+ IF(N33 = INDEX($C$45:$T$45, COLUMN()-2), 2, 0)
+ IF(N33 = INDEX($C$46:$T$46, COLUMN()-2), 1, 0)</f>
        <v>2</v>
      </c>
      <c r="O58" s="1" cm="1">
        <f t="array" ref="O58">IF(O33 = INDEX($C$44:$T$44, COLUMN()-2), 3, 0)
+ IF(O33 = INDEX($C$45:$T$45, COLUMN()-2), 2, 0)
+ IF(O33 = INDEX($C$46:$T$46, COLUMN()-2), 1, 0)</f>
        <v>2</v>
      </c>
      <c r="P58" s="1" cm="1">
        <f t="array" ref="P58">IF(P33 = INDEX($C$44:$T$44, COLUMN()-2), 3, 0)
+ IF(P33 = INDEX($C$45:$T$45, COLUMN()-2), 2, 0)
+ IF(P33 = INDEX($C$46:$T$46, COLUMN()-2), 1, 0)</f>
        <v>2</v>
      </c>
      <c r="Q58" s="1" cm="1">
        <f t="array" ref="Q58">IF(Q33 = INDEX($C$44:$T$44, COLUMN()-2), 3, 0)
+ IF(Q33 = INDEX($C$45:$T$45, COLUMN()-2), 2, 0)
+ IF(Q33 = INDEX($C$46:$T$46, COLUMN()-2), 1, 0)</f>
        <v>3</v>
      </c>
      <c r="R58" s="1" cm="1">
        <f t="array" ref="R58">IF(R33 = INDEX($C$44:$T$44, COLUMN()-2), 3, 0)
+ IF(R33 = INDEX($C$45:$T$45, COLUMN()-2), 2, 0)
+ IF(R33 = INDEX($C$46:$T$46, COLUMN()-2), 1, 0)</f>
        <v>3</v>
      </c>
      <c r="S58" s="1" cm="1">
        <f t="array" ref="S58">IF(S33 = INDEX($C$44:$T$44, COLUMN()-2), 3, 0)
+ IF(S33 = INDEX($C$45:$T$45, COLUMN()-2), 2, 0)
+ IF(S33 = INDEX($C$46:$T$46, COLUMN()-2), 1, 0)</f>
        <v>3</v>
      </c>
      <c r="T58" s="1" cm="1">
        <f t="array" ref="T58">IF(T33 = INDEX($C$44:$T$44, COLUMN()-2), 3, 0)
+ IF(T33 = INDEX($C$45:$T$45, COLUMN()-2), 2, 0)
+ IF(T33 = INDEX($C$46:$T$46, COLUMN()-2), 1, 0)</f>
        <v>0</v>
      </c>
      <c r="U58" s="9">
        <f t="shared" si="40"/>
        <v>32</v>
      </c>
    </row>
    <row r="59" spans="1:22" x14ac:dyDescent="0.2">
      <c r="A59" s="19" t="s">
        <v>6</v>
      </c>
      <c r="B59" s="21">
        <f t="shared" si="39"/>
        <v>18</v>
      </c>
      <c r="C59" s="11" cm="1">
        <f t="array" ref="C59">IF(C34 = INDEX($C$44:$T$44, COLUMN()-2), 3, 0)
+ IF(C34 = INDEX($C$45:$T$45, COLUMN()-2), 2, 0)
+ IF(C34 = INDEX($C$46:$T$46, COLUMN()-2), 1, 0)</f>
        <v>3</v>
      </c>
      <c r="D59" s="1" cm="1">
        <f t="array" ref="D59">IF(D34 = INDEX($C$44:$T$44, COLUMN()-2), 3, 0)
+ IF(D34 = INDEX($C$45:$T$45, COLUMN()-2), 2, 0)
+ IF(D34 = INDEX($C$46:$T$46, COLUMN()-2), 1, 0)</f>
        <v>2</v>
      </c>
      <c r="E59" s="1" cm="1">
        <f t="array" ref="E59">IF(E34 = INDEX($C$44:$T$44, COLUMN()-2), 3, 0)
+ IF(E34 = INDEX($C$45:$T$45, COLUMN()-2), 2, 0)
+ IF(E34 = INDEX($C$46:$T$46, COLUMN()-2), 1, 0)</f>
        <v>1</v>
      </c>
      <c r="F59" s="1" cm="1">
        <f t="array" ref="F59">IF(F34 = INDEX($C$44:$T$44, COLUMN()-2), 3, 0)
+ IF(F34 = INDEX($C$45:$T$45, COLUMN()-2), 2, 0)
+ IF(F34 = INDEX($C$46:$T$46, COLUMN()-2), 1, 0)</f>
        <v>2</v>
      </c>
      <c r="G59" s="1" cm="1">
        <f t="array" ref="G59">IF(G34 = INDEX($C$44:$T$44, COLUMN()-2), 3, 0)
+ IF(G34 = INDEX($C$45:$T$45, COLUMN()-2), 2, 0)
+ IF(G34 = INDEX($C$46:$T$46, COLUMN()-2), 1, 0)</f>
        <v>3</v>
      </c>
      <c r="H59" s="1" cm="1">
        <f t="array" ref="H59">IF(H34 = INDEX($C$44:$T$44, COLUMN()-2), 3, 0)
+ IF(H34 = INDEX($C$45:$T$45, COLUMN()-2), 2, 0)
+ IF(H34 = INDEX($C$46:$T$46, COLUMN()-2), 1, 0)</f>
        <v>2</v>
      </c>
      <c r="I59" s="1" cm="1">
        <f t="array" ref="I59">IF(I34 = INDEX($C$44:$T$44, COLUMN()-2), 3, 0)
+ IF(I34 = INDEX($C$45:$T$45, COLUMN()-2), 2, 0)
+ IF(I34 = INDEX($C$46:$T$46, COLUMN()-2), 1, 0)</f>
        <v>2</v>
      </c>
      <c r="J59" s="1" cm="1">
        <f t="array" ref="J59">IF(J34 = INDEX($C$44:$T$44, COLUMN()-2), 3, 0)
+ IF(J34 = INDEX($C$45:$T$45, COLUMN()-2), 2, 0)
+ IF(J34 = INDEX($C$46:$T$46, COLUMN()-2), 1, 0)</f>
        <v>3</v>
      </c>
      <c r="K59" s="1" cm="1">
        <f t="array" ref="K59">IF(K34 = INDEX($C$44:$T$44, COLUMN()-2), 3, 0)
+ IF(K34 = INDEX($C$45:$T$45, COLUMN()-2), 2, 0)
+ IF(K34 = INDEX($C$46:$T$46, COLUMN()-2), 1, 0)</f>
        <v>1</v>
      </c>
      <c r="L59" s="1" cm="1">
        <f t="array" ref="L59">IF(L34 = INDEX($C$44:$T$44, COLUMN()-2), 3, 0)
+ IF(L34 = INDEX($C$45:$T$45, COLUMN()-2), 2, 0)
+ IF(L34 = INDEX($C$46:$T$46, COLUMN()-2), 1, 0)</f>
        <v>3</v>
      </c>
      <c r="M59" s="1" cm="1">
        <f t="array" ref="M59">IF(M34 = INDEX($C$44:$T$44, COLUMN()-2), 3, 0)
+ IF(M34 = INDEX($C$45:$T$45, COLUMN()-2), 2, 0)
+ IF(M34 = INDEX($C$46:$T$46, COLUMN()-2), 1, 0)</f>
        <v>3</v>
      </c>
      <c r="N59" s="1" cm="1">
        <f t="array" ref="N59">IF(N34 = INDEX($C$44:$T$44, COLUMN()-2), 3, 0)
+ IF(N34 = INDEX($C$45:$T$45, COLUMN()-2), 2, 0)
+ IF(N34 = INDEX($C$46:$T$46, COLUMN()-2), 1, 0)</f>
        <v>3</v>
      </c>
      <c r="O59" s="1" cm="1">
        <f t="array" ref="O59">IF(O34 = INDEX($C$44:$T$44, COLUMN()-2), 3, 0)
+ IF(O34 = INDEX($C$45:$T$45, COLUMN()-2), 2, 0)
+ IF(O34 = INDEX($C$46:$T$46, COLUMN()-2), 1, 0)</f>
        <v>3</v>
      </c>
      <c r="P59" s="1" cm="1">
        <f t="array" ref="P59">IF(P34 = INDEX($C$44:$T$44, COLUMN()-2), 3, 0)
+ IF(P34 = INDEX($C$45:$T$45, COLUMN()-2), 2, 0)
+ IF(P34 = INDEX($C$46:$T$46, COLUMN()-2), 1, 0)</f>
        <v>3</v>
      </c>
      <c r="Q59" s="1" cm="1">
        <f t="array" ref="Q59">IF(Q34 = INDEX($C$44:$T$44, COLUMN()-2), 3, 0)
+ IF(Q34 = INDEX($C$45:$T$45, COLUMN()-2), 2, 0)
+ IF(Q34 = INDEX($C$46:$T$46, COLUMN()-2), 1, 0)</f>
        <v>1</v>
      </c>
      <c r="R59" s="1" cm="1">
        <f t="array" ref="R59">IF(R34 = INDEX($C$44:$T$44, COLUMN()-2), 3, 0)
+ IF(R34 = INDEX($C$45:$T$45, COLUMN()-2), 2, 0)
+ IF(R34 = INDEX($C$46:$T$46, COLUMN()-2), 1, 0)</f>
        <v>2</v>
      </c>
      <c r="S59" s="1" cm="1">
        <f t="array" ref="S59">IF(S34 = INDEX($C$44:$T$44, COLUMN()-2), 3, 0)
+ IF(S34 = INDEX($C$45:$T$45, COLUMN()-2), 2, 0)
+ IF(S34 = INDEX($C$46:$T$46, COLUMN()-2), 1, 0)</f>
        <v>2</v>
      </c>
      <c r="T59" s="1" cm="1">
        <f t="array" ref="T59">IF(T34 = INDEX($C$44:$T$44, COLUMN()-2), 3, 0)
+ IF(T34 = INDEX($C$45:$T$45, COLUMN()-2), 2, 0)
+ IF(T34 = INDEX($C$46:$T$46, COLUMN()-2), 1, 0)</f>
        <v>0</v>
      </c>
      <c r="U59" s="9">
        <f t="shared" si="40"/>
        <v>39</v>
      </c>
    </row>
    <row r="60" spans="1:22" x14ac:dyDescent="0.2">
      <c r="A60" s="19" t="s">
        <v>7</v>
      </c>
      <c r="B60" s="21">
        <f t="shared" si="39"/>
        <v>18</v>
      </c>
      <c r="C60" s="11" cm="1">
        <f t="array" ref="C60">IF(C35 = INDEX($C$44:$T$44, COLUMN()-2), 3, 0)
+ IF(C35 = INDEX($C$45:$T$45, COLUMN()-2), 2, 0)
+ IF(C35 = INDEX($C$46:$T$46, COLUMN()-2), 1, 0)</f>
        <v>3</v>
      </c>
      <c r="D60" s="1" cm="1">
        <f t="array" ref="D60">IF(D35 = INDEX($C$44:$T$44, COLUMN()-2), 3, 0)
+ IF(D35 = INDEX($C$45:$T$45, COLUMN()-2), 2, 0)
+ IF(D35 = INDEX($C$46:$T$46, COLUMN()-2), 1, 0)</f>
        <v>2</v>
      </c>
      <c r="E60" s="1" cm="1">
        <f t="array" ref="E60">IF(E35 = INDEX($C$44:$T$44, COLUMN()-2), 3, 0)
+ IF(E35 = INDEX($C$45:$T$45, COLUMN()-2), 2, 0)
+ IF(E35 = INDEX($C$46:$T$46, COLUMN()-2), 1, 0)</f>
        <v>1</v>
      </c>
      <c r="F60" s="1" cm="1">
        <f t="array" ref="F60">IF(F35 = INDEX($C$44:$T$44, COLUMN()-2), 3, 0)
+ IF(F35 = INDEX($C$45:$T$45, COLUMN()-2), 2, 0)
+ IF(F35 = INDEX($C$46:$T$46, COLUMN()-2), 1, 0)</f>
        <v>2</v>
      </c>
      <c r="G60" s="1" cm="1">
        <f t="array" ref="G60">IF(G35 = INDEX($C$44:$T$44, COLUMN()-2), 3, 0)
+ IF(G35 = INDEX($C$45:$T$45, COLUMN()-2), 2, 0)
+ IF(G35 = INDEX($C$46:$T$46, COLUMN()-2), 1, 0)</f>
        <v>3</v>
      </c>
      <c r="H60" s="1" cm="1">
        <f t="array" ref="H60">IF(H35 = INDEX($C$44:$T$44, COLUMN()-2), 3, 0)
+ IF(H35 = INDEX($C$45:$T$45, COLUMN()-2), 2, 0)
+ IF(H35 = INDEX($C$46:$T$46, COLUMN()-2), 1, 0)</f>
        <v>2</v>
      </c>
      <c r="I60" s="1" cm="1">
        <f t="array" ref="I60">IF(I35 = INDEX($C$44:$T$44, COLUMN()-2), 3, 0)
+ IF(I35 = INDEX($C$45:$T$45, COLUMN()-2), 2, 0)
+ IF(I35 = INDEX($C$46:$T$46, COLUMN()-2), 1, 0)</f>
        <v>2</v>
      </c>
      <c r="J60" s="1" cm="1">
        <f t="array" ref="J60">IF(J35 = INDEX($C$44:$T$44, COLUMN()-2), 3, 0)
+ IF(J35 = INDEX($C$45:$T$45, COLUMN()-2), 2, 0)
+ IF(J35 = INDEX($C$46:$T$46, COLUMN()-2), 1, 0)</f>
        <v>3</v>
      </c>
      <c r="K60" s="1" cm="1">
        <f t="array" ref="K60">IF(K35 = INDEX($C$44:$T$44, COLUMN()-2), 3, 0)
+ IF(K35 = INDEX($C$45:$T$45, COLUMN()-2), 2, 0)
+ IF(K35 = INDEX($C$46:$T$46, COLUMN()-2), 1, 0)</f>
        <v>1</v>
      </c>
      <c r="L60" s="1" cm="1">
        <f t="array" ref="L60">IF(L35 = INDEX($C$44:$T$44, COLUMN()-2), 3, 0)
+ IF(L35 = INDEX($C$45:$T$45, COLUMN()-2), 2, 0)
+ IF(L35 = INDEX($C$46:$T$46, COLUMN()-2), 1, 0)</f>
        <v>3</v>
      </c>
      <c r="M60" s="1" cm="1">
        <f t="array" ref="M60">IF(M35 = INDEX($C$44:$T$44, COLUMN()-2), 3, 0)
+ IF(M35 = INDEX($C$45:$T$45, COLUMN()-2), 2, 0)
+ IF(M35 = INDEX($C$46:$T$46, COLUMN()-2), 1, 0)</f>
        <v>3</v>
      </c>
      <c r="N60" s="1" cm="1">
        <f t="array" ref="N60">IF(N35 = INDEX($C$44:$T$44, COLUMN()-2), 3, 0)
+ IF(N35 = INDEX($C$45:$T$45, COLUMN()-2), 2, 0)
+ IF(N35 = INDEX($C$46:$T$46, COLUMN()-2), 1, 0)</f>
        <v>3</v>
      </c>
      <c r="O60" s="1" cm="1">
        <f t="array" ref="O60">IF(O35 = INDEX($C$44:$T$44, COLUMN()-2), 3, 0)
+ IF(O35 = INDEX($C$45:$T$45, COLUMN()-2), 2, 0)
+ IF(O35 = INDEX($C$46:$T$46, COLUMN()-2), 1, 0)</f>
        <v>3</v>
      </c>
      <c r="P60" s="1" cm="1">
        <f t="array" ref="P60">IF(P35 = INDEX($C$44:$T$44, COLUMN()-2), 3, 0)
+ IF(P35 = INDEX($C$45:$T$45, COLUMN()-2), 2, 0)
+ IF(P35 = INDEX($C$46:$T$46, COLUMN()-2), 1, 0)</f>
        <v>3</v>
      </c>
      <c r="Q60" s="1" cm="1">
        <f t="array" ref="Q60">IF(Q35 = INDEX($C$44:$T$44, COLUMN()-2), 3, 0)
+ IF(Q35 = INDEX($C$45:$T$45, COLUMN()-2), 2, 0)
+ IF(Q35 = INDEX($C$46:$T$46, COLUMN()-2), 1, 0)</f>
        <v>1</v>
      </c>
      <c r="R60" s="1" cm="1">
        <f t="array" ref="R60">IF(R35 = INDEX($C$44:$T$44, COLUMN()-2), 3, 0)
+ IF(R35 = INDEX($C$45:$T$45, COLUMN()-2), 2, 0)
+ IF(R35 = INDEX($C$46:$T$46, COLUMN()-2), 1, 0)</f>
        <v>2</v>
      </c>
      <c r="S60" s="1" cm="1">
        <f t="array" ref="S60">IF(S35 = INDEX($C$44:$T$44, COLUMN()-2), 3, 0)
+ IF(S35 = INDEX($C$45:$T$45, COLUMN()-2), 2, 0)
+ IF(S35 = INDEX($C$46:$T$46, COLUMN()-2), 1, 0)</f>
        <v>2</v>
      </c>
      <c r="T60" s="1" cm="1">
        <f t="array" ref="T60">IF(T35 = INDEX($C$44:$T$44, COLUMN()-2), 3, 0)
+ IF(T35 = INDEX($C$45:$T$45, COLUMN()-2), 2, 0)
+ IF(T35 = INDEX($C$46:$T$46, COLUMN()-2), 1, 0)</f>
        <v>0</v>
      </c>
      <c r="U60" s="9">
        <f t="shared" si="40"/>
        <v>39</v>
      </c>
    </row>
    <row r="61" spans="1:22" x14ac:dyDescent="0.2">
      <c r="A61" s="19" t="s">
        <v>8</v>
      </c>
      <c r="B61" s="21">
        <f t="shared" si="39"/>
        <v>18</v>
      </c>
      <c r="C61" s="11" cm="1">
        <f t="array" ref="C61">IF(C36 = INDEX($C$44:$T$44, COLUMN()-2), 3, 0)
+ IF(C36 = INDEX($C$45:$T$45, COLUMN()-2), 2, 0)
+ IF(C36 = INDEX($C$46:$T$46, COLUMN()-2), 1, 0)</f>
        <v>1</v>
      </c>
      <c r="D61" s="1" cm="1">
        <f t="array" ref="D61">IF(D36 = INDEX($C$44:$T$44, COLUMN()-2), 3, 0)
+ IF(D36 = INDEX($C$45:$T$45, COLUMN()-2), 2, 0)
+ IF(D36 = INDEX($C$46:$T$46, COLUMN()-2), 1, 0)</f>
        <v>0</v>
      </c>
      <c r="E61" s="1" cm="1">
        <f t="array" ref="E61">IF(E36 = INDEX($C$44:$T$44, COLUMN()-2), 3, 0)
+ IF(E36 = INDEX($C$45:$T$45, COLUMN()-2), 2, 0)
+ IF(E36 = INDEX($C$46:$T$46, COLUMN()-2), 1, 0)</f>
        <v>2</v>
      </c>
      <c r="F61" s="1" cm="1">
        <f t="array" ref="F61">IF(F36 = INDEX($C$44:$T$44, COLUMN()-2), 3, 0)
+ IF(F36 = INDEX($C$45:$T$45, COLUMN()-2), 2, 0)
+ IF(F36 = INDEX($C$46:$T$46, COLUMN()-2), 1, 0)</f>
        <v>1</v>
      </c>
      <c r="G61" s="1" cm="1">
        <f t="array" ref="G61">IF(G36 = INDEX($C$44:$T$44, COLUMN()-2), 3, 0)
+ IF(G36 = INDEX($C$45:$T$45, COLUMN()-2), 2, 0)
+ IF(G36 = INDEX($C$46:$T$46, COLUMN()-2), 1, 0)</f>
        <v>2</v>
      </c>
      <c r="H61" s="1" cm="1">
        <f t="array" ref="H61">IF(H36 = INDEX($C$44:$T$44, COLUMN()-2), 3, 0)
+ IF(H36 = INDEX($C$45:$T$45, COLUMN()-2), 2, 0)
+ IF(H36 = INDEX($C$46:$T$46, COLUMN()-2), 1, 0)</f>
        <v>1</v>
      </c>
      <c r="I61" s="1" cm="1">
        <f t="array" ref="I61">IF(I36 = INDEX($C$44:$T$44, COLUMN()-2), 3, 0)
+ IF(I36 = INDEX($C$45:$T$45, COLUMN()-2), 2, 0)
+ IF(I36 = INDEX($C$46:$T$46, COLUMN()-2), 1, 0)</f>
        <v>0</v>
      </c>
      <c r="J61" s="1" cm="1">
        <f t="array" ref="J61">IF(J36 = INDEX($C$44:$T$44, COLUMN()-2), 3, 0)
+ IF(J36 = INDEX($C$45:$T$45, COLUMN()-2), 2, 0)
+ IF(J36 = INDEX($C$46:$T$46, COLUMN()-2), 1, 0)</f>
        <v>2</v>
      </c>
      <c r="K61" s="1" cm="1">
        <f t="array" ref="K61">IF(K36 = INDEX($C$44:$T$44, COLUMN()-2), 3, 0)
+ IF(K36 = INDEX($C$45:$T$45, COLUMN()-2), 2, 0)
+ IF(K36 = INDEX($C$46:$T$46, COLUMN()-2), 1, 0)</f>
        <v>1</v>
      </c>
      <c r="L61" s="1" cm="1">
        <f t="array" ref="L61">IF(L36 = INDEX($C$44:$T$44, COLUMN()-2), 3, 0)
+ IF(L36 = INDEX($C$45:$T$45, COLUMN()-2), 2, 0)
+ IF(L36 = INDEX($C$46:$T$46, COLUMN()-2), 1, 0)</f>
        <v>1</v>
      </c>
      <c r="M61" s="1" cm="1">
        <f t="array" ref="M61">IF(M36 = INDEX($C$44:$T$44, COLUMN()-2), 3, 0)
+ IF(M36 = INDEX($C$45:$T$45, COLUMN()-2), 2, 0)
+ IF(M36 = INDEX($C$46:$T$46, COLUMN()-2), 1, 0)</f>
        <v>1</v>
      </c>
      <c r="N61" s="1" cm="1">
        <f t="array" ref="N61">IF(N36 = INDEX($C$44:$T$44, COLUMN()-2), 3, 0)
+ IF(N36 = INDEX($C$45:$T$45, COLUMN()-2), 2, 0)
+ IF(N36 = INDEX($C$46:$T$46, COLUMN()-2), 1, 0)</f>
        <v>1</v>
      </c>
      <c r="O61" s="1" cm="1">
        <f t="array" ref="O61">IF(O36 = INDEX($C$44:$T$44, COLUMN()-2), 3, 0)
+ IF(O36 = INDEX($C$45:$T$45, COLUMN()-2), 2, 0)
+ IF(O36 = INDEX($C$46:$T$46, COLUMN()-2), 1, 0)</f>
        <v>1</v>
      </c>
      <c r="P61" s="1" cm="1">
        <f t="array" ref="P61">IF(P36 = INDEX($C$44:$T$44, COLUMN()-2), 3, 0)
+ IF(P36 = INDEX($C$45:$T$45, COLUMN()-2), 2, 0)
+ IF(P36 = INDEX($C$46:$T$46, COLUMN()-2), 1, 0)</f>
        <v>1</v>
      </c>
      <c r="Q61" s="1" cm="1">
        <f t="array" ref="Q61">IF(Q36 = INDEX($C$44:$T$44, COLUMN()-2), 3, 0)
+ IF(Q36 = INDEX($C$45:$T$45, COLUMN()-2), 2, 0)
+ IF(Q36 = INDEX($C$46:$T$46, COLUMN()-2), 1, 0)</f>
        <v>2</v>
      </c>
      <c r="R61" s="1" cm="1">
        <f t="array" ref="R61">IF(R36 = INDEX($C$44:$T$44, COLUMN()-2), 3, 0)
+ IF(R36 = INDEX($C$45:$T$45, COLUMN()-2), 2, 0)
+ IF(R36 = INDEX($C$46:$T$46, COLUMN()-2), 1, 0)</f>
        <v>2</v>
      </c>
      <c r="S61" s="1" cm="1">
        <f t="array" ref="S61">IF(S36 = INDEX($C$44:$T$44, COLUMN()-2), 3, 0)
+ IF(S36 = INDEX($C$45:$T$45, COLUMN()-2), 2, 0)
+ IF(S36 = INDEX($C$46:$T$46, COLUMN()-2), 1, 0)</f>
        <v>1</v>
      </c>
      <c r="T61" s="1" cm="1">
        <f t="array" ref="T61">IF(T36 = INDEX($C$44:$T$44, COLUMN()-2), 3, 0)
+ IF(T36 = INDEX($C$45:$T$45, COLUMN()-2), 2, 0)
+ IF(T36 = INDEX($C$46:$T$46, COLUMN()-2), 1, 0)</f>
        <v>1</v>
      </c>
      <c r="U61" s="9">
        <f t="shared" si="40"/>
        <v>21</v>
      </c>
    </row>
    <row r="62" spans="1:22" x14ac:dyDescent="0.2">
      <c r="A62" s="19" t="s">
        <v>9</v>
      </c>
      <c r="B62" s="21">
        <f t="shared" si="39"/>
        <v>18</v>
      </c>
      <c r="C62" s="11" cm="1">
        <f t="array" ref="C62">IF(C37 = INDEX($C$44:$T$44, COLUMN()-2), 3, 0)
+ IF(C37 = INDEX($C$45:$T$45, COLUMN()-2), 2, 0)
+ IF(C37 = INDEX($C$46:$T$46, COLUMN()-2), 1, 0)</f>
        <v>1</v>
      </c>
      <c r="D62" s="1" cm="1">
        <f t="array" ref="D62">IF(D37 = INDEX($C$44:$T$44, COLUMN()-2), 3, 0)
+ IF(D37 = INDEX($C$45:$T$45, COLUMN()-2), 2, 0)
+ IF(D37 = INDEX($C$46:$T$46, COLUMN()-2), 1, 0)</f>
        <v>0</v>
      </c>
      <c r="E62" s="1" cm="1">
        <f t="array" ref="E62">IF(E37 = INDEX($C$44:$T$44, COLUMN()-2), 3, 0)
+ IF(E37 = INDEX($C$45:$T$45, COLUMN()-2), 2, 0)
+ IF(E37 = INDEX($C$46:$T$46, COLUMN()-2), 1, 0)</f>
        <v>0</v>
      </c>
      <c r="F62" s="1" cm="1">
        <f t="array" ref="F62">IF(F37 = INDEX($C$44:$T$44, COLUMN()-2), 3, 0)
+ IF(F37 = INDEX($C$45:$T$45, COLUMN()-2), 2, 0)
+ IF(F37 = INDEX($C$46:$T$46, COLUMN()-2), 1, 0)</f>
        <v>0</v>
      </c>
      <c r="G62" s="1" cm="1">
        <f t="array" ref="G62">IF(G37 = INDEX($C$44:$T$44, COLUMN()-2), 3, 0)
+ IF(G37 = INDEX($C$45:$T$45, COLUMN()-2), 2, 0)
+ IF(G37 = INDEX($C$46:$T$46, COLUMN()-2), 1, 0)</f>
        <v>0</v>
      </c>
      <c r="H62" s="1" cm="1">
        <f t="array" ref="H62">IF(H37 = INDEX($C$44:$T$44, COLUMN()-2), 3, 0)
+ IF(H37 = INDEX($C$45:$T$45, COLUMN()-2), 2, 0)
+ IF(H37 = INDEX($C$46:$T$46, COLUMN()-2), 1, 0)</f>
        <v>3</v>
      </c>
      <c r="I62" s="1" cm="1">
        <f t="array" ref="I62">IF(I37 = INDEX($C$44:$T$44, COLUMN()-2), 3, 0)
+ IF(I37 = INDEX($C$45:$T$45, COLUMN()-2), 2, 0)
+ IF(I37 = INDEX($C$46:$T$46, COLUMN()-2), 1, 0)</f>
        <v>3</v>
      </c>
      <c r="J62" s="1" cm="1">
        <f t="array" ref="J62">IF(J37 = INDEX($C$44:$T$44, COLUMN()-2), 3, 0)
+ IF(J37 = INDEX($C$45:$T$45, COLUMN()-2), 2, 0)
+ IF(J37 = INDEX($C$46:$T$46, COLUMN()-2), 1, 0)</f>
        <v>0</v>
      </c>
      <c r="K62" s="1" cm="1">
        <f t="array" ref="K62">IF(K37 = INDEX($C$44:$T$44, COLUMN()-2), 3, 0)
+ IF(K37 = INDEX($C$45:$T$45, COLUMN()-2), 2, 0)
+ IF(K37 = INDEX($C$46:$T$46, COLUMN()-2), 1, 0)</f>
        <v>0</v>
      </c>
      <c r="L62" s="1" cm="1">
        <f t="array" ref="L62">IF(L37 = INDEX($C$44:$T$44, COLUMN()-2), 3, 0)
+ IF(L37 = INDEX($C$45:$T$45, COLUMN()-2), 2, 0)
+ IF(L37 = INDEX($C$46:$T$46, COLUMN()-2), 1, 0)</f>
        <v>0</v>
      </c>
      <c r="M62" s="1" cm="1">
        <f t="array" ref="M62">IF(M37 = INDEX($C$44:$T$44, COLUMN()-2), 3, 0)
+ IF(M37 = INDEX($C$45:$T$45, COLUMN()-2), 2, 0)
+ IF(M37 = INDEX($C$46:$T$46, COLUMN()-2), 1, 0)</f>
        <v>0</v>
      </c>
      <c r="N62" s="1" cm="1">
        <f t="array" ref="N62">IF(N37 = INDEX($C$44:$T$44, COLUMN()-2), 3, 0)
+ IF(N37 = INDEX($C$45:$T$45, COLUMN()-2), 2, 0)
+ IF(N37 = INDEX($C$46:$T$46, COLUMN()-2), 1, 0)</f>
        <v>0</v>
      </c>
      <c r="O62" s="1" cm="1">
        <f t="array" ref="O62">IF(O37 = INDEX($C$44:$T$44, COLUMN()-2), 3, 0)
+ IF(O37 = INDEX($C$45:$T$45, COLUMN()-2), 2, 0)
+ IF(O37 = INDEX($C$46:$T$46, COLUMN()-2), 1, 0)</f>
        <v>0</v>
      </c>
      <c r="P62" s="1" cm="1">
        <f t="array" ref="P62">IF(P37 = INDEX($C$44:$T$44, COLUMN()-2), 3, 0)
+ IF(P37 = INDEX($C$45:$T$45, COLUMN()-2), 2, 0)
+ IF(P37 = INDEX($C$46:$T$46, COLUMN()-2), 1, 0)</f>
        <v>0</v>
      </c>
      <c r="Q62" s="1" cm="1">
        <f t="array" ref="Q62">IF(Q37 = INDEX($C$44:$T$44, COLUMN()-2), 3, 0)
+ IF(Q37 = INDEX($C$45:$T$45, COLUMN()-2), 2, 0)
+ IF(Q37 = INDEX($C$46:$T$46, COLUMN()-2), 1, 0)</f>
        <v>0</v>
      </c>
      <c r="R62" s="1" cm="1">
        <f t="array" ref="R62">IF(R37 = INDEX($C$44:$T$44, COLUMN()-2), 3, 0)
+ IF(R37 = INDEX($C$45:$T$45, COLUMN()-2), 2, 0)
+ IF(R37 = INDEX($C$46:$T$46, COLUMN()-2), 1, 0)</f>
        <v>2</v>
      </c>
      <c r="S62" s="1" cm="1">
        <f t="array" ref="S62">IF(S37 = INDEX($C$44:$T$44, COLUMN()-2), 3, 0)
+ IF(S37 = INDEX($C$45:$T$45, COLUMN()-2), 2, 0)
+ IF(S37 = INDEX($C$46:$T$46, COLUMN()-2), 1, 0)</f>
        <v>1</v>
      </c>
      <c r="T62" s="1" cm="1">
        <f t="array" ref="T62">IF(T37 = INDEX($C$44:$T$44, COLUMN()-2), 3, 0)
+ IF(T37 = INDEX($C$45:$T$45, COLUMN()-2), 2, 0)
+ IF(T37 = INDEX($C$46:$T$46, COLUMN()-2), 1, 0)</f>
        <v>2</v>
      </c>
      <c r="U62" s="9">
        <f t="shared" si="40"/>
        <v>12</v>
      </c>
    </row>
    <row r="63" spans="1:22" x14ac:dyDescent="0.2">
      <c r="A63" s="22" t="s">
        <v>10</v>
      </c>
      <c r="B63" s="23">
        <f t="shared" si="39"/>
        <v>18</v>
      </c>
      <c r="C63" s="5" cm="1">
        <f t="array" ref="C63">IF(C38 = INDEX($C$44:$T$44, COLUMN()-2), 3, 0)
+ IF(C38 = INDEX($C$45:$T$45, COLUMN()-2), 2, 0)
+ IF(C38 = INDEX($C$46:$T$46, COLUMN()-2), 1, 0)</f>
        <v>1</v>
      </c>
      <c r="D63" s="6" cm="1">
        <f t="array" ref="D63">IF(D38 = INDEX($C$44:$T$44, COLUMN()-2), 3, 0)
+ IF(D38 = INDEX($C$45:$T$45, COLUMN()-2), 2, 0)
+ IF(D38 = INDEX($C$46:$T$46, COLUMN()-2), 1, 0)</f>
        <v>1</v>
      </c>
      <c r="E63" s="6" cm="1">
        <f t="array" ref="E63">IF(E38 = INDEX($C$44:$T$44, COLUMN()-2), 3, 0)
+ IF(E38 = INDEX($C$45:$T$45, COLUMN()-2), 2, 0)
+ IF(E38 = INDEX($C$46:$T$46, COLUMN()-2), 1, 0)</f>
        <v>0</v>
      </c>
      <c r="F63" s="6" cm="1">
        <f t="array" ref="F63">IF(F38 = INDEX($C$44:$T$44, COLUMN()-2), 3, 0)
+ IF(F38 = INDEX($C$45:$T$45, COLUMN()-2), 2, 0)
+ IF(F38 = INDEX($C$46:$T$46, COLUMN()-2), 1, 0)</f>
        <v>0</v>
      </c>
      <c r="G63" s="6" cm="1">
        <f t="array" ref="G63">IF(G38 = INDEX($C$44:$T$44, COLUMN()-2), 3, 0)
+ IF(G38 = INDEX($C$45:$T$45, COLUMN()-2), 2, 0)
+ IF(G38 = INDEX($C$46:$T$46, COLUMN()-2), 1, 0)</f>
        <v>0</v>
      </c>
      <c r="H63" s="6" cm="1">
        <f t="array" ref="H63">IF(H38 = INDEX($C$44:$T$44, COLUMN()-2), 3, 0)
+ IF(H38 = INDEX($C$45:$T$45, COLUMN()-2), 2, 0)
+ IF(H38 = INDEX($C$46:$T$46, COLUMN()-2), 1, 0)</f>
        <v>0</v>
      </c>
      <c r="I63" s="6" cm="1">
        <f t="array" ref="I63">IF(I38 = INDEX($C$44:$T$44, COLUMN()-2), 3, 0)
+ IF(I38 = INDEX($C$45:$T$45, COLUMN()-2), 2, 0)
+ IF(I38 = INDEX($C$46:$T$46, COLUMN()-2), 1, 0)</f>
        <v>0</v>
      </c>
      <c r="J63" s="6" cm="1">
        <f t="array" ref="J63">IF(J38 = INDEX($C$44:$T$44, COLUMN()-2), 3, 0)
+ IF(J38 = INDEX($C$45:$T$45, COLUMN()-2), 2, 0)
+ IF(J38 = INDEX($C$46:$T$46, COLUMN()-2), 1, 0)</f>
        <v>0</v>
      </c>
      <c r="K63" s="6" cm="1">
        <f t="array" ref="K63">IF(K38 = INDEX($C$44:$T$44, COLUMN()-2), 3, 0)
+ IF(K38 = INDEX($C$45:$T$45, COLUMN()-2), 2, 0)
+ IF(K38 = INDEX($C$46:$T$46, COLUMN()-2), 1, 0)</f>
        <v>3</v>
      </c>
      <c r="L63" s="6" cm="1">
        <f t="array" ref="L63">IF(L38 = INDEX($C$44:$T$44, COLUMN()-2), 3, 0)
+ IF(L38 = INDEX($C$45:$T$45, COLUMN()-2), 2, 0)
+ IF(L38 = INDEX($C$46:$T$46, COLUMN()-2), 1, 0)</f>
        <v>0</v>
      </c>
      <c r="M63" s="6" cm="1">
        <f t="array" ref="M63">IF(M38 = INDEX($C$44:$T$44, COLUMN()-2), 3, 0)
+ IF(M38 = INDEX($C$45:$T$45, COLUMN()-2), 2, 0)
+ IF(M38 = INDEX($C$46:$T$46, COLUMN()-2), 1, 0)</f>
        <v>0</v>
      </c>
      <c r="N63" s="6" cm="1">
        <f t="array" ref="N63">IF(N38 = INDEX($C$44:$T$44, COLUMN()-2), 3, 0)
+ IF(N38 = INDEX($C$45:$T$45, COLUMN()-2), 2, 0)
+ IF(N38 = INDEX($C$46:$T$46, COLUMN()-2), 1, 0)</f>
        <v>0</v>
      </c>
      <c r="O63" s="6" cm="1">
        <f t="array" ref="O63">IF(O38 = INDEX($C$44:$T$44, COLUMN()-2), 3, 0)
+ IF(O38 = INDEX($C$45:$T$45, COLUMN()-2), 2, 0)
+ IF(O38 = INDEX($C$46:$T$46, COLUMN()-2), 1, 0)</f>
        <v>0</v>
      </c>
      <c r="P63" s="6" cm="1">
        <f t="array" ref="P63">IF(P38 = INDEX($C$44:$T$44, COLUMN()-2), 3, 0)
+ IF(P38 = INDEX($C$45:$T$45, COLUMN()-2), 2, 0)
+ IF(P38 = INDEX($C$46:$T$46, COLUMN()-2), 1, 0)</f>
        <v>0</v>
      </c>
      <c r="Q63" s="6" cm="1">
        <f t="array" ref="Q63">IF(Q38 = INDEX($C$44:$T$44, COLUMN()-2), 3, 0)
+ IF(Q38 = INDEX($C$45:$T$45, COLUMN()-2), 2, 0)
+ IF(Q38 = INDEX($C$46:$T$46, COLUMN()-2), 1, 0)</f>
        <v>0</v>
      </c>
      <c r="R63" s="6" cm="1">
        <f t="array" ref="R63">IF(R38 = INDEX($C$44:$T$44, COLUMN()-2), 3, 0)
+ IF(R38 = INDEX($C$45:$T$45, COLUMN()-2), 2, 0)
+ IF(R38 = INDEX($C$46:$T$46, COLUMN()-2), 1, 0)</f>
        <v>1</v>
      </c>
      <c r="S63" s="6" cm="1">
        <f t="array" ref="S63">IF(S38 = INDEX($C$44:$T$44, COLUMN()-2), 3, 0)
+ IF(S38 = INDEX($C$45:$T$45, COLUMN()-2), 2, 0)
+ IF(S38 = INDEX($C$46:$T$46, COLUMN()-2), 1, 0)</f>
        <v>1</v>
      </c>
      <c r="T63" s="6" cm="1">
        <f t="array" ref="T63">IF(T38 = INDEX($C$44:$T$44, COLUMN()-2), 3, 0)
+ IF(T38 = INDEX($C$45:$T$45, COLUMN()-2), 2, 0)
+ IF(T38 = INDEX($C$46:$T$46, COLUMN()-2), 1, 0)</f>
        <v>3</v>
      </c>
      <c r="U63" s="10">
        <f t="shared" si="40"/>
        <v>10</v>
      </c>
    </row>
    <row r="65" spans="3:20" x14ac:dyDescent="0.2">
      <c r="C65" s="125" t="str" cm="1">
        <f t="array" ref="C65">IFERROR(INDEX($A$56:$A$63, MATCH(LARGE(INDEX($C$56:$T$63,0,COLUMN()-2)+ROW($A$56:$A$63)/1000, ROW(A1)), INDEX($C$56:$T$63,0,COLUMN()-2)+ROW($A$56:$A$63)/1000, 0)), "")</f>
        <v>HOLLANDS</v>
      </c>
      <c r="D65" s="126" t="str" cm="1">
        <f t="array" ref="D65">IFERROR(INDEX($A$56:$A$63, MATCH(LARGE(INDEX($C$56:$T$63,0,COLUMN()-2)+ROW($A$56:$A$63)/1000, ROW(B1)), INDEX($C$56:$T$63,0,COLUMN()-2)+ROW($A$56:$A$63)/1000, 0)), "")</f>
        <v>BELLIS</v>
      </c>
      <c r="E65" s="126" t="str" cm="1">
        <f t="array" ref="E65">IFERROR(INDEX($A$56:$A$63, MATCH(LARGE(INDEX($C$56:$T$63,0,COLUMN()-2)+ROW($A$56:$A$63)/1000, ROW(C1)), INDEX($C$56:$T$63,0,COLUMN()-2)+ROW($A$56:$A$63)/1000, 0)), "")</f>
        <v>DONOVAN</v>
      </c>
      <c r="F65" s="126" t="str" cm="1">
        <f t="array" ref="F65">IFERROR(INDEX($A$56:$A$63, MATCH(LARGE(INDEX($C$56:$T$63,0,COLUMN()-2)+ROW($A$56:$A$63)/1000, ROW(D1)), INDEX($C$56:$T$63,0,COLUMN()-2)+ROW($A$56:$A$63)/1000, 0)), "")</f>
        <v>DONOVAN</v>
      </c>
      <c r="G65" s="126" t="str" cm="1">
        <f t="array" ref="G65">IFERROR(INDEX($A$56:$A$63, MATCH(LARGE(INDEX($C$56:$T$63,0,COLUMN()-2)+ROW($A$56:$A$63)/1000, ROW(E1)), INDEX($C$56:$T$63,0,COLUMN()-2)+ROW($A$56:$A$63)/1000, 0)), "")</f>
        <v>HOLLANDS</v>
      </c>
      <c r="H65" s="126" t="str" cm="1">
        <f t="array" ref="H65">IFERROR(INDEX($A$56:$A$63, MATCH(LARGE(INDEX($C$56:$T$63,0,COLUMN()-2)+ROW($A$56:$A$63)/1000, ROW(F1)), INDEX($C$56:$T$63,0,COLUMN()-2)+ROW($A$56:$A$63)/1000, 0)), "")</f>
        <v>REILLY</v>
      </c>
      <c r="I65" s="126" t="str" cm="1">
        <f t="array" ref="I65">IFERROR(INDEX($A$56:$A$63, MATCH(LARGE(INDEX($C$56:$T$63,0,COLUMN()-2)+ROW($A$56:$A$63)/1000, ROW(G1)), INDEX($C$56:$T$63,0,COLUMN()-2)+ROW($A$56:$A$63)/1000, 0)), "")</f>
        <v>REILLY</v>
      </c>
      <c r="J65" s="126" t="str" cm="1">
        <f t="array" ref="J65">IFERROR(INDEX($A$56:$A$63, MATCH(LARGE(INDEX($C$56:$T$63,0,COLUMN()-2)+ROW($A$56:$A$63)/1000, ROW(H1)), INDEX($C$56:$T$63,0,COLUMN()-2)+ROW($A$56:$A$63)/1000, 0)), "")</f>
        <v>HOLLANDS</v>
      </c>
      <c r="K65" s="126" t="str" cm="1">
        <f t="array" ref="K65">IFERROR(INDEX($A$56:$A$63, MATCH(LARGE(INDEX($C$56:$T$63,0,COLUMN()-2)+ROW($A$56:$A$63)/1000, ROW(I1)), INDEX($C$56:$T$63,0,COLUMN()-2)+ROW($A$56:$A$63)/1000, 0)), "")</f>
        <v>STONES</v>
      </c>
      <c r="L65" s="126" t="str" cm="1">
        <f t="array" ref="L65">IFERROR(INDEX($A$56:$A$63, MATCH(LARGE(INDEX($C$56:$T$63,0,COLUMN()-2)+ROW($A$56:$A$63)/1000, ROW(J1)), INDEX($C$56:$T$63,0,COLUMN()-2)+ROW($A$56:$A$63)/1000, 0)), "")</f>
        <v>HOLLANDS</v>
      </c>
      <c r="M65" s="126" t="str" cm="1">
        <f t="array" ref="M65">IFERROR(INDEX($A$56:$A$63, MATCH(LARGE(INDEX($C$56:$T$63,0,COLUMN()-2)+ROW($A$56:$A$63)/1000, ROW(K1)), INDEX($C$56:$T$63,0,COLUMN()-2)+ROW($A$56:$A$63)/1000, 0)), "")</f>
        <v>HOLLANDS</v>
      </c>
      <c r="N65" s="126" t="str" cm="1">
        <f t="array" ref="N65">IFERROR(INDEX($A$56:$A$63, MATCH(LARGE(INDEX($C$56:$T$63,0,COLUMN()-2)+ROW($A$56:$A$63)/1000, ROW(L1)), INDEX($C$56:$T$63,0,COLUMN()-2)+ROW($A$56:$A$63)/1000, 0)), "")</f>
        <v>HOLLANDS</v>
      </c>
      <c r="O65" s="126" t="str" cm="1">
        <f t="array" ref="O65">IFERROR(INDEX($A$56:$A$63, MATCH(LARGE(INDEX($C$56:$T$63,0,COLUMN()-2)+ROW($A$56:$A$63)/1000, ROW(M1)), INDEX($C$56:$T$63,0,COLUMN()-2)+ROW($A$56:$A$63)/1000, 0)), "")</f>
        <v>HOLLANDS</v>
      </c>
      <c r="P65" s="126" t="str" cm="1">
        <f t="array" ref="P65">IFERROR(INDEX($A$56:$A$63, MATCH(LARGE(INDEX($C$56:$T$63,0,COLUMN()-2)+ROW($A$56:$A$63)/1000, ROW(N1)), INDEX($C$56:$T$63,0,COLUMN()-2)+ROW($A$56:$A$63)/1000, 0)), "")</f>
        <v>HOLLANDS</v>
      </c>
      <c r="Q65" s="126" t="str" cm="1">
        <f t="array" ref="Q65">IFERROR(INDEX($A$56:$A$63, MATCH(LARGE(INDEX($C$56:$T$63,0,COLUMN()-2)+ROW($A$56:$A$63)/1000, ROW(O1)), INDEX($C$56:$T$63,0,COLUMN()-2)+ROW($A$56:$A$63)/1000, 0)), "")</f>
        <v>DONOVAN</v>
      </c>
      <c r="R65" s="126" t="str" cm="1">
        <f t="array" ref="R65">IFERROR(INDEX($A$56:$A$63, MATCH(LARGE(INDEX($C$56:$T$63,0,COLUMN()-2)+ROW($A$56:$A$63)/1000, ROW(P1)), INDEX($C$56:$T$63,0,COLUMN()-2)+ROW($A$56:$A$63)/1000, 0)), "")</f>
        <v>DONOVAN</v>
      </c>
      <c r="S65" s="126" t="str" cm="1">
        <f t="array" ref="S65">IFERROR(INDEX($A$56:$A$63, MATCH(LARGE(INDEX($C$56:$T$63,0,COLUMN()-2)+ROW($A$56:$A$63)/1000, ROW(Q1)), INDEX($C$56:$T$63,0,COLUMN()-2)+ROW($A$56:$A$63)/1000, 0)), "")</f>
        <v>DONOVAN</v>
      </c>
      <c r="T65" s="129" t="str" cm="1">
        <f t="array" ref="T65">IFERROR(INDEX($A$56:$A$63, MATCH(LARGE(INDEX($C$56:$T$63,0,COLUMN()-2)+ROW($A$56:$A$63)/1000, ROW(R1)), INDEX($C$56:$T$63,0,COLUMN()-2)+ROW($A$56:$A$63)/1000, 0)), "")</f>
        <v>STONES</v>
      </c>
    </row>
    <row r="66" spans="3:20" x14ac:dyDescent="0.2">
      <c r="C66" s="127" t="str" cm="1">
        <f t="array" ref="C66">IFERROR(INDEX($A$56:$A$63, MATCH(LARGE(INDEX($C$56:$T$63,0,COLUMN()-2)+ROW($A$56:$A$63)/1000, ROW(A2)), INDEX($C$56:$T$63,0,COLUMN()-2)+ROW($A$56:$A$63)/1000, 0)), "")</f>
        <v>FINDLAY</v>
      </c>
      <c r="D66" s="1" t="str" cm="1">
        <f t="array" ref="D66">IFERROR(INDEX($A$56:$A$63, MATCH(LARGE(INDEX($C$56:$T$63,0,COLUMN()-2)+ROW($A$56:$A$63)/1000, ROW(B2)), INDEX($C$56:$T$63,0,COLUMN()-2)+ROW($A$56:$A$63)/1000, 0)), "")</f>
        <v>HOLLANDS</v>
      </c>
      <c r="E66" s="1" t="str" cm="1">
        <f t="array" ref="E66">IFERROR(INDEX($A$56:$A$63, MATCH(LARGE(INDEX($C$56:$T$63,0,COLUMN()-2)+ROW($A$56:$A$63)/1000, ROW(C2)), INDEX($C$56:$T$63,0,COLUMN()-2)+ROW($A$56:$A$63)/1000, 0)), "")</f>
        <v>LAING</v>
      </c>
      <c r="F66" s="1" t="str" cm="1">
        <f t="array" ref="F66">IFERROR(INDEX($A$56:$A$63, MATCH(LARGE(INDEX($C$56:$T$63,0,COLUMN()-2)+ROW($A$56:$A$63)/1000, ROW(D2)), INDEX($C$56:$T$63,0,COLUMN()-2)+ROW($A$56:$A$63)/1000, 0)), "")</f>
        <v>HOLLANDS</v>
      </c>
      <c r="G66" s="1" t="str" cm="1">
        <f t="array" ref="G66">IFERROR(INDEX($A$56:$A$63, MATCH(LARGE(INDEX($C$56:$T$63,0,COLUMN()-2)+ROW($A$56:$A$63)/1000, ROW(E2)), INDEX($C$56:$T$63,0,COLUMN()-2)+ROW($A$56:$A$63)/1000, 0)), "")</f>
        <v>FINDLAY</v>
      </c>
      <c r="H66" s="1" t="str" cm="1">
        <f t="array" ref="H66">IFERROR(INDEX($A$56:$A$63, MATCH(LARGE(INDEX($C$56:$T$63,0,COLUMN()-2)+ROW($A$56:$A$63)/1000, ROW(F2)), INDEX($C$56:$T$63,0,COLUMN()-2)+ROW($A$56:$A$63)/1000, 0)), "")</f>
        <v>DEY</v>
      </c>
      <c r="I66" s="1" t="str" cm="1">
        <f t="array" ref="I66">IFERROR(INDEX($A$56:$A$63, MATCH(LARGE(INDEX($C$56:$T$63,0,COLUMN()-2)+ROW($A$56:$A$63)/1000, ROW(G2)), INDEX($C$56:$T$63,0,COLUMN()-2)+ROW($A$56:$A$63)/1000, 0)), "")</f>
        <v>DEY</v>
      </c>
      <c r="J66" s="1" t="str" cm="1">
        <f t="array" ref="J66">IFERROR(INDEX($A$56:$A$63, MATCH(LARGE(INDEX($C$56:$T$63,0,COLUMN()-2)+ROW($A$56:$A$63)/1000, ROW(H2)), INDEX($C$56:$T$63,0,COLUMN()-2)+ROW($A$56:$A$63)/1000, 0)), "")</f>
        <v>FINDLAY</v>
      </c>
      <c r="K66" s="1" t="str" cm="1">
        <f t="array" ref="K66">IFERROR(INDEX($A$56:$A$63, MATCH(LARGE(INDEX($C$56:$T$63,0,COLUMN()-2)+ROW($A$56:$A$63)/1000, ROW(I2)), INDEX($C$56:$T$63,0,COLUMN()-2)+ROW($A$56:$A$63)/1000, 0)), "")</f>
        <v>BELLIS</v>
      </c>
      <c r="L66" s="1" t="str" cm="1">
        <f t="array" ref="L66">IFERROR(INDEX($A$56:$A$63, MATCH(LARGE(INDEX($C$56:$T$63,0,COLUMN()-2)+ROW($A$56:$A$63)/1000, ROW(J2)), INDEX($C$56:$T$63,0,COLUMN()-2)+ROW($A$56:$A$63)/1000, 0)), "")</f>
        <v>FINDLAY</v>
      </c>
      <c r="M66" s="1" t="str" cm="1">
        <f t="array" ref="M66">IFERROR(INDEX($A$56:$A$63, MATCH(LARGE(INDEX($C$56:$T$63,0,COLUMN()-2)+ROW($A$56:$A$63)/1000, ROW(K2)), INDEX($C$56:$T$63,0,COLUMN()-2)+ROW($A$56:$A$63)/1000, 0)), "")</f>
        <v>FINDLAY</v>
      </c>
      <c r="N66" s="1" t="str" cm="1">
        <f t="array" ref="N66">IFERROR(INDEX($A$56:$A$63, MATCH(LARGE(INDEX($C$56:$T$63,0,COLUMN()-2)+ROW($A$56:$A$63)/1000, ROW(L2)), INDEX($C$56:$T$63,0,COLUMN()-2)+ROW($A$56:$A$63)/1000, 0)), "")</f>
        <v>FINDLAY</v>
      </c>
      <c r="O66" s="1" t="str" cm="1">
        <f t="array" ref="O66">IFERROR(INDEX($A$56:$A$63, MATCH(LARGE(INDEX($C$56:$T$63,0,COLUMN()-2)+ROW($A$56:$A$63)/1000, ROW(M2)), INDEX($C$56:$T$63,0,COLUMN()-2)+ROW($A$56:$A$63)/1000, 0)), "")</f>
        <v>FINDLAY</v>
      </c>
      <c r="P66" s="1" t="str" cm="1">
        <f t="array" ref="P66">IFERROR(INDEX($A$56:$A$63, MATCH(LARGE(INDEX($C$56:$T$63,0,COLUMN()-2)+ROW($A$56:$A$63)/1000, ROW(N2)), INDEX($C$56:$T$63,0,COLUMN()-2)+ROW($A$56:$A$63)/1000, 0)), "")</f>
        <v>FINDLAY</v>
      </c>
      <c r="Q66" s="1" t="str" cm="1">
        <f t="array" ref="Q66">IFERROR(INDEX($A$56:$A$63, MATCH(LARGE(INDEX($C$56:$T$63,0,COLUMN()-2)+ROW($A$56:$A$63)/1000, ROW(O2)), INDEX($C$56:$T$63,0,COLUMN()-2)+ROW($A$56:$A$63)/1000, 0)), "")</f>
        <v>LAING</v>
      </c>
      <c r="R66" s="1" t="str" cm="1">
        <f t="array" ref="R66">IFERROR(INDEX($A$56:$A$63, MATCH(LARGE(INDEX($C$56:$T$63,0,COLUMN()-2)+ROW($A$56:$A$63)/1000, ROW(P2)), INDEX($C$56:$T$63,0,COLUMN()-2)+ROW($A$56:$A$63)/1000, 0)), "")</f>
        <v>REILLY</v>
      </c>
      <c r="S66" s="1" t="str" cm="1">
        <f t="array" ref="S66">IFERROR(INDEX($A$56:$A$63, MATCH(LARGE(INDEX($C$56:$T$63,0,COLUMN()-2)+ROW($A$56:$A$63)/1000, ROW(Q2)), INDEX($C$56:$T$63,0,COLUMN()-2)+ROW($A$56:$A$63)/1000, 0)), "")</f>
        <v>HOLLANDS</v>
      </c>
      <c r="T66" s="89" t="str" cm="1">
        <f t="array" ref="T66">IFERROR(INDEX($A$56:$A$63, MATCH(LARGE(INDEX($C$56:$T$63,0,COLUMN()-2)+ROW($A$56:$A$63)/1000, ROW(R2)), INDEX($C$56:$T$63,0,COLUMN()-2)+ROW($A$56:$A$63)/1000, 0)), "")</f>
        <v>REILLY</v>
      </c>
    </row>
    <row r="67" spans="3:20" x14ac:dyDescent="0.2">
      <c r="C67" s="127" t="str" cm="1">
        <f t="array" ref="C67">IFERROR(INDEX($A$56:$A$63, MATCH(LARGE(INDEX($C$56:$T$63,0,COLUMN()-2)+ROW($A$56:$A$63)/1000, ROW(A3)), INDEX($C$56:$T$63,0,COLUMN()-2)+ROW($A$56:$A$63)/1000, 0)), "")</f>
        <v>DONOVAN</v>
      </c>
      <c r="D67" s="1" t="str" cm="1">
        <f t="array" ref="D67">IFERROR(INDEX($A$56:$A$63, MATCH(LARGE(INDEX($C$56:$T$63,0,COLUMN()-2)+ROW($A$56:$A$63)/1000, ROW(B3)), INDEX($C$56:$T$63,0,COLUMN()-2)+ROW($A$56:$A$63)/1000, 0)), "")</f>
        <v>FINDLAY</v>
      </c>
      <c r="E67" s="1" t="str" cm="1">
        <f t="array" ref="E67">IFERROR(INDEX($A$56:$A$63, MATCH(LARGE(INDEX($C$56:$T$63,0,COLUMN()-2)+ROW($A$56:$A$63)/1000, ROW(C3)), INDEX($C$56:$T$63,0,COLUMN()-2)+ROW($A$56:$A$63)/1000, 0)), "")</f>
        <v>HOLLANDS</v>
      </c>
      <c r="F67" s="1" t="str" cm="1">
        <f t="array" ref="F67">IFERROR(INDEX($A$56:$A$63, MATCH(LARGE(INDEX($C$56:$T$63,0,COLUMN()-2)+ROW($A$56:$A$63)/1000, ROW(D3)), INDEX($C$56:$T$63,0,COLUMN()-2)+ROW($A$56:$A$63)/1000, 0)), "")</f>
        <v>FINDLAY</v>
      </c>
      <c r="G67" s="1" t="str" cm="1">
        <f t="array" ref="G67">IFERROR(INDEX($A$56:$A$63, MATCH(LARGE(INDEX($C$56:$T$63,0,COLUMN()-2)+ROW($A$56:$A$63)/1000, ROW(E3)), INDEX($C$56:$T$63,0,COLUMN()-2)+ROW($A$56:$A$63)/1000, 0)), "")</f>
        <v>LAING</v>
      </c>
      <c r="H67" s="1" t="str" cm="1">
        <f t="array" ref="H67">IFERROR(INDEX($A$56:$A$63, MATCH(LARGE(INDEX($C$56:$T$63,0,COLUMN()-2)+ROW($A$56:$A$63)/1000, ROW(F3)), INDEX($C$56:$T$63,0,COLUMN()-2)+ROW($A$56:$A$63)/1000, 0)), "")</f>
        <v>HOLLANDS</v>
      </c>
      <c r="I67" s="1" t="str" cm="1">
        <f t="array" ref="I67">IFERROR(INDEX($A$56:$A$63, MATCH(LARGE(INDEX($C$56:$T$63,0,COLUMN()-2)+ROW($A$56:$A$63)/1000, ROW(G3)), INDEX($C$56:$T$63,0,COLUMN()-2)+ROW($A$56:$A$63)/1000, 0)), "")</f>
        <v>HOLLANDS</v>
      </c>
      <c r="J67" s="1" t="str" cm="1">
        <f t="array" ref="J67">IFERROR(INDEX($A$56:$A$63, MATCH(LARGE(INDEX($C$56:$T$63,0,COLUMN()-2)+ROW($A$56:$A$63)/1000, ROW(H3)), INDEX($C$56:$T$63,0,COLUMN()-2)+ROW($A$56:$A$63)/1000, 0)), "")</f>
        <v>DEY</v>
      </c>
      <c r="K67" s="1" t="str" cm="1">
        <f t="array" ref="K67">IFERROR(INDEX($A$56:$A$63, MATCH(LARGE(INDEX($C$56:$T$63,0,COLUMN()-2)+ROW($A$56:$A$63)/1000, ROW(I3)), INDEX($C$56:$T$63,0,COLUMN()-2)+ROW($A$56:$A$63)/1000, 0)), "")</f>
        <v>LAING</v>
      </c>
      <c r="L67" s="1" t="str" cm="1">
        <f t="array" ref="L67">IFERROR(INDEX($A$56:$A$63, MATCH(LARGE(INDEX($C$56:$T$63,0,COLUMN()-2)+ROW($A$56:$A$63)/1000, ROW(J3)), INDEX($C$56:$T$63,0,COLUMN()-2)+ROW($A$56:$A$63)/1000, 0)), "")</f>
        <v>DONOVAN</v>
      </c>
      <c r="M67" s="1" t="str" cm="1">
        <f t="array" ref="M67">IFERROR(INDEX($A$56:$A$63, MATCH(LARGE(INDEX($C$56:$T$63,0,COLUMN()-2)+ROW($A$56:$A$63)/1000, ROW(K3)), INDEX($C$56:$T$63,0,COLUMN()-2)+ROW($A$56:$A$63)/1000, 0)), "")</f>
        <v>DONOVAN</v>
      </c>
      <c r="N67" s="1" t="str" cm="1">
        <f t="array" ref="N67">IFERROR(INDEX($A$56:$A$63, MATCH(LARGE(INDEX($C$56:$T$63,0,COLUMN()-2)+ROW($A$56:$A$63)/1000, ROW(L3)), INDEX($C$56:$T$63,0,COLUMN()-2)+ROW($A$56:$A$63)/1000, 0)), "")</f>
        <v>DONOVAN</v>
      </c>
      <c r="O67" s="1" t="str" cm="1">
        <f t="array" ref="O67">IFERROR(INDEX($A$56:$A$63, MATCH(LARGE(INDEX($C$56:$T$63,0,COLUMN()-2)+ROW($A$56:$A$63)/1000, ROW(M3)), INDEX($C$56:$T$63,0,COLUMN()-2)+ROW($A$56:$A$63)/1000, 0)), "")</f>
        <v>DONOVAN</v>
      </c>
      <c r="P67" s="1" t="str" cm="1">
        <f t="array" ref="P67">IFERROR(INDEX($A$56:$A$63, MATCH(LARGE(INDEX($C$56:$T$63,0,COLUMN()-2)+ROW($A$56:$A$63)/1000, ROW(N3)), INDEX($C$56:$T$63,0,COLUMN()-2)+ROW($A$56:$A$63)/1000, 0)), "")</f>
        <v>DONOVAN</v>
      </c>
      <c r="Q67" s="1" t="str" cm="1">
        <f t="array" ref="Q67">IFERROR(INDEX($A$56:$A$63, MATCH(LARGE(INDEX($C$56:$T$63,0,COLUMN()-2)+ROW($A$56:$A$63)/1000, ROW(O3)), INDEX($C$56:$T$63,0,COLUMN()-2)+ROW($A$56:$A$63)/1000, 0)), "")</f>
        <v>HOLLANDS</v>
      </c>
      <c r="R67" s="1" t="str" cm="1">
        <f t="array" ref="R67">IFERROR(INDEX($A$56:$A$63, MATCH(LARGE(INDEX($C$56:$T$63,0,COLUMN()-2)+ROW($A$56:$A$63)/1000, ROW(P3)), INDEX($C$56:$T$63,0,COLUMN()-2)+ROW($A$56:$A$63)/1000, 0)), "")</f>
        <v>LAING</v>
      </c>
      <c r="S67" s="1" t="str" cm="1">
        <f t="array" ref="S67">IFERROR(INDEX($A$56:$A$63, MATCH(LARGE(INDEX($C$56:$T$63,0,COLUMN()-2)+ROW($A$56:$A$63)/1000, ROW(Q3)), INDEX($C$56:$T$63,0,COLUMN()-2)+ROW($A$56:$A$63)/1000, 0)), "")</f>
        <v>FINDLAY</v>
      </c>
      <c r="T67" s="89" t="str" cm="1">
        <f t="array" ref="T67">IFERROR(INDEX($A$56:$A$63, MATCH(LARGE(INDEX($C$56:$T$63,0,COLUMN()-2)+ROW($A$56:$A$63)/1000, ROW(R3)), INDEX($C$56:$T$63,0,COLUMN()-2)+ROW($A$56:$A$63)/1000, 0)), "")</f>
        <v>LAING</v>
      </c>
    </row>
    <row r="68" spans="3:20" x14ac:dyDescent="0.2">
      <c r="C68" s="127" t="str" cm="1">
        <f t="array" ref="C68">IFERROR(INDEX($A$56:$A$63, MATCH(LARGE(INDEX($C$56:$T$63,0,COLUMN()-2)+ROW($A$56:$A$63)/1000, ROW(A4)), INDEX($C$56:$T$63,0,COLUMN()-2)+ROW($A$56:$A$63)/1000, 0)), "")</f>
        <v>STONES</v>
      </c>
      <c r="D68" s="1" t="str" cm="1">
        <f t="array" ref="D68">IFERROR(INDEX($A$56:$A$63, MATCH(LARGE(INDEX($C$56:$T$63,0,COLUMN()-2)+ROW($A$56:$A$63)/1000, ROW(B4)), INDEX($C$56:$T$63,0,COLUMN()-2)+ROW($A$56:$A$63)/1000, 0)), "")</f>
        <v>STONES</v>
      </c>
      <c r="E68" s="1" t="str" cm="1">
        <f t="array" ref="E68">IFERROR(INDEX($A$56:$A$63, MATCH(LARGE(INDEX($C$56:$T$63,0,COLUMN()-2)+ROW($A$56:$A$63)/1000, ROW(C4)), INDEX($C$56:$T$63,0,COLUMN()-2)+ROW($A$56:$A$63)/1000, 0)), "")</f>
        <v>FINDLAY</v>
      </c>
      <c r="F68" s="1" t="str" cm="1">
        <f t="array" ref="F68">IFERROR(INDEX($A$56:$A$63, MATCH(LARGE(INDEX($C$56:$T$63,0,COLUMN()-2)+ROW($A$56:$A$63)/1000, ROW(D4)), INDEX($C$56:$T$63,0,COLUMN()-2)+ROW($A$56:$A$63)/1000, 0)), "")</f>
        <v>LAING</v>
      </c>
      <c r="G68" s="1" t="str" cm="1">
        <f t="array" ref="G68">IFERROR(INDEX($A$56:$A$63, MATCH(LARGE(INDEX($C$56:$T$63,0,COLUMN()-2)+ROW($A$56:$A$63)/1000, ROW(E4)), INDEX($C$56:$T$63,0,COLUMN()-2)+ROW($A$56:$A$63)/1000, 0)), "")</f>
        <v>DONOVAN</v>
      </c>
      <c r="H68" s="1" t="str" cm="1">
        <f t="array" ref="H68">IFERROR(INDEX($A$56:$A$63, MATCH(LARGE(INDEX($C$56:$T$63,0,COLUMN()-2)+ROW($A$56:$A$63)/1000, ROW(F4)), INDEX($C$56:$T$63,0,COLUMN()-2)+ROW($A$56:$A$63)/1000, 0)), "")</f>
        <v>FINDLAY</v>
      </c>
      <c r="I68" s="1" t="str" cm="1">
        <f t="array" ref="I68">IFERROR(INDEX($A$56:$A$63, MATCH(LARGE(INDEX($C$56:$T$63,0,COLUMN()-2)+ROW($A$56:$A$63)/1000, ROW(G4)), INDEX($C$56:$T$63,0,COLUMN()-2)+ROW($A$56:$A$63)/1000, 0)), "")</f>
        <v>FINDLAY</v>
      </c>
      <c r="J68" s="1" t="str" cm="1">
        <f t="array" ref="J68">IFERROR(INDEX($A$56:$A$63, MATCH(LARGE(INDEX($C$56:$T$63,0,COLUMN()-2)+ROW($A$56:$A$63)/1000, ROW(H4)), INDEX($C$56:$T$63,0,COLUMN()-2)+ROW($A$56:$A$63)/1000, 0)), "")</f>
        <v>LAING</v>
      </c>
      <c r="K68" s="1" t="str" cm="1">
        <f t="array" ref="K68">IFERROR(INDEX($A$56:$A$63, MATCH(LARGE(INDEX($C$56:$T$63,0,COLUMN()-2)+ROW($A$56:$A$63)/1000, ROW(I4)), INDEX($C$56:$T$63,0,COLUMN()-2)+ROW($A$56:$A$63)/1000, 0)), "")</f>
        <v>HOLLANDS</v>
      </c>
      <c r="L68" s="1" t="str" cm="1">
        <f t="array" ref="L68">IFERROR(INDEX($A$56:$A$63, MATCH(LARGE(INDEX($C$56:$T$63,0,COLUMN()-2)+ROW($A$56:$A$63)/1000, ROW(J4)), INDEX($C$56:$T$63,0,COLUMN()-2)+ROW($A$56:$A$63)/1000, 0)), "")</f>
        <v>LAING</v>
      </c>
      <c r="M68" s="1" t="str" cm="1">
        <f t="array" ref="M68">IFERROR(INDEX($A$56:$A$63, MATCH(LARGE(INDEX($C$56:$T$63,0,COLUMN()-2)+ROW($A$56:$A$63)/1000, ROW(K4)), INDEX($C$56:$T$63,0,COLUMN()-2)+ROW($A$56:$A$63)/1000, 0)), "")</f>
        <v>LAING</v>
      </c>
      <c r="N68" s="1" t="str" cm="1">
        <f t="array" ref="N68">IFERROR(INDEX($A$56:$A$63, MATCH(LARGE(INDEX($C$56:$T$63,0,COLUMN()-2)+ROW($A$56:$A$63)/1000, ROW(L4)), INDEX($C$56:$T$63,0,COLUMN()-2)+ROW($A$56:$A$63)/1000, 0)), "")</f>
        <v>LAING</v>
      </c>
      <c r="O68" s="1" t="str" cm="1">
        <f t="array" ref="O68">IFERROR(INDEX($A$56:$A$63, MATCH(LARGE(INDEX($C$56:$T$63,0,COLUMN()-2)+ROW($A$56:$A$63)/1000, ROW(M4)), INDEX($C$56:$T$63,0,COLUMN()-2)+ROW($A$56:$A$63)/1000, 0)), "")</f>
        <v>LAING</v>
      </c>
      <c r="P68" s="1" t="str" cm="1">
        <f t="array" ref="P68">IFERROR(INDEX($A$56:$A$63, MATCH(LARGE(INDEX($C$56:$T$63,0,COLUMN()-2)+ROW($A$56:$A$63)/1000, ROW(N4)), INDEX($C$56:$T$63,0,COLUMN()-2)+ROW($A$56:$A$63)/1000, 0)), "")</f>
        <v>LAING</v>
      </c>
      <c r="Q68" s="1" t="str" cm="1">
        <f t="array" ref="Q68">IFERROR(INDEX($A$56:$A$63, MATCH(LARGE(INDEX($C$56:$T$63,0,COLUMN()-2)+ROW($A$56:$A$63)/1000, ROW(O4)), INDEX($C$56:$T$63,0,COLUMN()-2)+ROW($A$56:$A$63)/1000, 0)), "")</f>
        <v>FINDLAY</v>
      </c>
      <c r="R68" s="1" t="str" cm="1">
        <f t="array" ref="R68">IFERROR(INDEX($A$56:$A$63, MATCH(LARGE(INDEX($C$56:$T$63,0,COLUMN()-2)+ROW($A$56:$A$63)/1000, ROW(P4)), INDEX($C$56:$T$63,0,COLUMN()-2)+ROW($A$56:$A$63)/1000, 0)), "")</f>
        <v>HOLLANDS</v>
      </c>
      <c r="S68" s="1" t="str" cm="1">
        <f t="array" ref="S68">IFERROR(INDEX($A$56:$A$63, MATCH(LARGE(INDEX($C$56:$T$63,0,COLUMN()-2)+ROW($A$56:$A$63)/1000, ROW(Q4)), INDEX($C$56:$T$63,0,COLUMN()-2)+ROW($A$56:$A$63)/1000, 0)), "")</f>
        <v>STONES</v>
      </c>
      <c r="T68" s="89" t="str" cm="1">
        <f t="array" ref="T68">IFERROR(INDEX($A$56:$A$63, MATCH(LARGE(INDEX($C$56:$T$63,0,COLUMN()-2)+ROW($A$56:$A$63)/1000, ROW(R4)), INDEX($C$56:$T$63,0,COLUMN()-2)+ROW($A$56:$A$63)/1000, 0)), "")</f>
        <v>HOLLANDS</v>
      </c>
    </row>
    <row r="69" spans="3:20" x14ac:dyDescent="0.2">
      <c r="C69" s="127" t="str" cm="1">
        <f t="array" ref="C69">IFERROR(INDEX($A$56:$A$63, MATCH(LARGE(INDEX($C$56:$T$63,0,COLUMN()-2)+ROW($A$56:$A$63)/1000, ROW(A5)), INDEX($C$56:$T$63,0,COLUMN()-2)+ROW($A$56:$A$63)/1000, 0)), "")</f>
        <v>REILLY</v>
      </c>
      <c r="D69" s="1" t="str" cm="1">
        <f t="array" ref="D69">IFERROR(INDEX($A$56:$A$63, MATCH(LARGE(INDEX($C$56:$T$63,0,COLUMN()-2)+ROW($A$56:$A$63)/1000, ROW(B5)), INDEX($C$56:$T$63,0,COLUMN()-2)+ROW($A$56:$A$63)/1000, 0)), "")</f>
        <v>REILLY</v>
      </c>
      <c r="E69" s="1" t="str" cm="1">
        <f t="array" ref="E69">IFERROR(INDEX($A$56:$A$63, MATCH(LARGE(INDEX($C$56:$T$63,0,COLUMN()-2)+ROW($A$56:$A$63)/1000, ROW(C5)), INDEX($C$56:$T$63,0,COLUMN()-2)+ROW($A$56:$A$63)/1000, 0)), "")</f>
        <v>STONES</v>
      </c>
      <c r="F69" s="1" t="str" cm="1">
        <f t="array" ref="F69">IFERROR(INDEX($A$56:$A$63, MATCH(LARGE(INDEX($C$56:$T$63,0,COLUMN()-2)+ROW($A$56:$A$63)/1000, ROW(D5)), INDEX($C$56:$T$63,0,COLUMN()-2)+ROW($A$56:$A$63)/1000, 0)), "")</f>
        <v>STONES</v>
      </c>
      <c r="G69" s="1" t="str" cm="1">
        <f t="array" ref="G69">IFERROR(INDEX($A$56:$A$63, MATCH(LARGE(INDEX($C$56:$T$63,0,COLUMN()-2)+ROW($A$56:$A$63)/1000, ROW(E5)), INDEX($C$56:$T$63,0,COLUMN()-2)+ROW($A$56:$A$63)/1000, 0)), "")</f>
        <v>STONES</v>
      </c>
      <c r="H69" s="1" t="str" cm="1">
        <f t="array" ref="H69">IFERROR(INDEX($A$56:$A$63, MATCH(LARGE(INDEX($C$56:$T$63,0,COLUMN()-2)+ROW($A$56:$A$63)/1000, ROW(F5)), INDEX($C$56:$T$63,0,COLUMN()-2)+ROW($A$56:$A$63)/1000, 0)), "")</f>
        <v>LAING</v>
      </c>
      <c r="I69" s="1" t="str" cm="1">
        <f t="array" ref="I69">IFERROR(INDEX($A$56:$A$63, MATCH(LARGE(INDEX($C$56:$T$63,0,COLUMN()-2)+ROW($A$56:$A$63)/1000, ROW(G5)), INDEX($C$56:$T$63,0,COLUMN()-2)+ROW($A$56:$A$63)/1000, 0)), "")</f>
        <v>DONOVAN</v>
      </c>
      <c r="J69" s="1" t="str" cm="1">
        <f t="array" ref="J69">IFERROR(INDEX($A$56:$A$63, MATCH(LARGE(INDEX($C$56:$T$63,0,COLUMN()-2)+ROW($A$56:$A$63)/1000, ROW(H5)), INDEX($C$56:$T$63,0,COLUMN()-2)+ROW($A$56:$A$63)/1000, 0)), "")</f>
        <v>DONOVAN</v>
      </c>
      <c r="K69" s="1" t="str" cm="1">
        <f t="array" ref="K69">IFERROR(INDEX($A$56:$A$63, MATCH(LARGE(INDEX($C$56:$T$63,0,COLUMN()-2)+ROW($A$56:$A$63)/1000, ROW(I5)), INDEX($C$56:$T$63,0,COLUMN()-2)+ROW($A$56:$A$63)/1000, 0)), "")</f>
        <v>FINDLAY</v>
      </c>
      <c r="L69" s="1" t="str" cm="1">
        <f t="array" ref="L69">IFERROR(INDEX($A$56:$A$63, MATCH(LARGE(INDEX($C$56:$T$63,0,COLUMN()-2)+ROW($A$56:$A$63)/1000, ROW(J5)), INDEX($C$56:$T$63,0,COLUMN()-2)+ROW($A$56:$A$63)/1000, 0)), "")</f>
        <v>STONES</v>
      </c>
      <c r="M69" s="1" t="str" cm="1">
        <f t="array" ref="M69">IFERROR(INDEX($A$56:$A$63, MATCH(LARGE(INDEX($C$56:$T$63,0,COLUMN()-2)+ROW($A$56:$A$63)/1000, ROW(K5)), INDEX($C$56:$T$63,0,COLUMN()-2)+ROW($A$56:$A$63)/1000, 0)), "")</f>
        <v>STONES</v>
      </c>
      <c r="N69" s="1" t="str" cm="1">
        <f t="array" ref="N69">IFERROR(INDEX($A$56:$A$63, MATCH(LARGE(INDEX($C$56:$T$63,0,COLUMN()-2)+ROW($A$56:$A$63)/1000, ROW(L5)), INDEX($C$56:$T$63,0,COLUMN()-2)+ROW($A$56:$A$63)/1000, 0)), "")</f>
        <v>STONES</v>
      </c>
      <c r="O69" s="1" t="str" cm="1">
        <f t="array" ref="O69">IFERROR(INDEX($A$56:$A$63, MATCH(LARGE(INDEX($C$56:$T$63,0,COLUMN()-2)+ROW($A$56:$A$63)/1000, ROW(M5)), INDEX($C$56:$T$63,0,COLUMN()-2)+ROW($A$56:$A$63)/1000, 0)), "")</f>
        <v>STONES</v>
      </c>
      <c r="P69" s="1" t="str" cm="1">
        <f t="array" ref="P69">IFERROR(INDEX($A$56:$A$63, MATCH(LARGE(INDEX($C$56:$T$63,0,COLUMN()-2)+ROW($A$56:$A$63)/1000, ROW(N5)), INDEX($C$56:$T$63,0,COLUMN()-2)+ROW($A$56:$A$63)/1000, 0)), "")</f>
        <v>STONES</v>
      </c>
      <c r="Q69" s="1" t="str" cm="1">
        <f t="array" ref="Q69">IFERROR(INDEX($A$56:$A$63, MATCH(LARGE(INDEX($C$56:$T$63,0,COLUMN()-2)+ROW($A$56:$A$63)/1000, ROW(O5)), INDEX($C$56:$T$63,0,COLUMN()-2)+ROW($A$56:$A$63)/1000, 0)), "")</f>
        <v>STONES</v>
      </c>
      <c r="R69" s="1" t="str" cm="1">
        <f t="array" ref="R69">IFERROR(INDEX($A$56:$A$63, MATCH(LARGE(INDEX($C$56:$T$63,0,COLUMN()-2)+ROW($A$56:$A$63)/1000, ROW(P5)), INDEX($C$56:$T$63,0,COLUMN()-2)+ROW($A$56:$A$63)/1000, 0)), "")</f>
        <v>FINDLAY</v>
      </c>
      <c r="S69" s="1" t="str" cm="1">
        <f t="array" ref="S69">IFERROR(INDEX($A$56:$A$63, MATCH(LARGE(INDEX($C$56:$T$63,0,COLUMN()-2)+ROW($A$56:$A$63)/1000, ROW(Q5)), INDEX($C$56:$T$63,0,COLUMN()-2)+ROW($A$56:$A$63)/1000, 0)), "")</f>
        <v>REILLY</v>
      </c>
      <c r="T69" s="89" t="str" cm="1">
        <f t="array" ref="T69">IFERROR(INDEX($A$56:$A$63, MATCH(LARGE(INDEX($C$56:$T$63,0,COLUMN()-2)+ROW($A$56:$A$63)/1000, ROW(R5)), INDEX($C$56:$T$63,0,COLUMN()-2)+ROW($A$56:$A$63)/1000, 0)), "")</f>
        <v>FINDLAY</v>
      </c>
    </row>
    <row r="70" spans="3:20" x14ac:dyDescent="0.2">
      <c r="C70" s="127" t="str" cm="1">
        <f t="array" ref="C70">IFERROR(INDEX($A$56:$A$63, MATCH(LARGE(INDEX($C$56:$T$63,0,COLUMN()-2)+ROW($A$56:$A$63)/1000, ROW(A6)), INDEX($C$56:$T$63,0,COLUMN()-2)+ROW($A$56:$A$63)/1000, 0)), "")</f>
        <v>LAING</v>
      </c>
      <c r="D70" s="1" t="str" cm="1">
        <f t="array" ref="D70">IFERROR(INDEX($A$56:$A$63, MATCH(LARGE(INDEX($C$56:$T$63,0,COLUMN()-2)+ROW($A$56:$A$63)/1000, ROW(B6)), INDEX($C$56:$T$63,0,COLUMN()-2)+ROW($A$56:$A$63)/1000, 0)), "")</f>
        <v>LAING</v>
      </c>
      <c r="E70" s="1" t="str" cm="1">
        <f t="array" ref="E70">IFERROR(INDEX($A$56:$A$63, MATCH(LARGE(INDEX($C$56:$T$63,0,COLUMN()-2)+ROW($A$56:$A$63)/1000, ROW(C6)), INDEX($C$56:$T$63,0,COLUMN()-2)+ROW($A$56:$A$63)/1000, 0)), "")</f>
        <v>REILLY</v>
      </c>
      <c r="F70" s="1" t="str" cm="1">
        <f t="array" ref="F70">IFERROR(INDEX($A$56:$A$63, MATCH(LARGE(INDEX($C$56:$T$63,0,COLUMN()-2)+ROW($A$56:$A$63)/1000, ROW(D6)), INDEX($C$56:$T$63,0,COLUMN()-2)+ROW($A$56:$A$63)/1000, 0)), "")</f>
        <v>REILLY</v>
      </c>
      <c r="G70" s="1" t="str" cm="1">
        <f t="array" ref="G70">IFERROR(INDEX($A$56:$A$63, MATCH(LARGE(INDEX($C$56:$T$63,0,COLUMN()-2)+ROW($A$56:$A$63)/1000, ROW(E6)), INDEX($C$56:$T$63,0,COLUMN()-2)+ROW($A$56:$A$63)/1000, 0)), "")</f>
        <v>REILLY</v>
      </c>
      <c r="H70" s="1" t="str" cm="1">
        <f t="array" ref="H70">IFERROR(INDEX($A$56:$A$63, MATCH(LARGE(INDEX($C$56:$T$63,0,COLUMN()-2)+ROW($A$56:$A$63)/1000, ROW(F6)), INDEX($C$56:$T$63,0,COLUMN()-2)+ROW($A$56:$A$63)/1000, 0)), "")</f>
        <v>DONOVAN</v>
      </c>
      <c r="I70" s="1" t="str" cm="1">
        <f t="array" ref="I70">IFERROR(INDEX($A$56:$A$63, MATCH(LARGE(INDEX($C$56:$T$63,0,COLUMN()-2)+ROW($A$56:$A$63)/1000, ROW(G6)), INDEX($C$56:$T$63,0,COLUMN()-2)+ROW($A$56:$A$63)/1000, 0)), "")</f>
        <v>STONES</v>
      </c>
      <c r="J70" s="1" t="str" cm="1">
        <f t="array" ref="J70">IFERROR(INDEX($A$56:$A$63, MATCH(LARGE(INDEX($C$56:$T$63,0,COLUMN()-2)+ROW($A$56:$A$63)/1000, ROW(H6)), INDEX($C$56:$T$63,0,COLUMN()-2)+ROW($A$56:$A$63)/1000, 0)), "")</f>
        <v>STONES</v>
      </c>
      <c r="K70" s="1" t="str" cm="1">
        <f t="array" ref="K70">IFERROR(INDEX($A$56:$A$63, MATCH(LARGE(INDEX($C$56:$T$63,0,COLUMN()-2)+ROW($A$56:$A$63)/1000, ROW(I6)), INDEX($C$56:$T$63,0,COLUMN()-2)+ROW($A$56:$A$63)/1000, 0)), "")</f>
        <v>DONOVAN</v>
      </c>
      <c r="L70" s="1" t="str" cm="1">
        <f t="array" ref="L70">IFERROR(INDEX($A$56:$A$63, MATCH(LARGE(INDEX($C$56:$T$63,0,COLUMN()-2)+ROW($A$56:$A$63)/1000, ROW(J6)), INDEX($C$56:$T$63,0,COLUMN()-2)+ROW($A$56:$A$63)/1000, 0)), "")</f>
        <v>REILLY</v>
      </c>
      <c r="M70" s="1" t="str" cm="1">
        <f t="array" ref="M70">IFERROR(INDEX($A$56:$A$63, MATCH(LARGE(INDEX($C$56:$T$63,0,COLUMN()-2)+ROW($A$56:$A$63)/1000, ROW(K6)), INDEX($C$56:$T$63,0,COLUMN()-2)+ROW($A$56:$A$63)/1000, 0)), "")</f>
        <v>REILLY</v>
      </c>
      <c r="N70" s="1" t="str" cm="1">
        <f t="array" ref="N70">IFERROR(INDEX($A$56:$A$63, MATCH(LARGE(INDEX($C$56:$T$63,0,COLUMN()-2)+ROW($A$56:$A$63)/1000, ROW(L6)), INDEX($C$56:$T$63,0,COLUMN()-2)+ROW($A$56:$A$63)/1000, 0)), "")</f>
        <v>REILLY</v>
      </c>
      <c r="O70" s="1" t="str" cm="1">
        <f t="array" ref="O70">IFERROR(INDEX($A$56:$A$63, MATCH(LARGE(INDEX($C$56:$T$63,0,COLUMN()-2)+ROW($A$56:$A$63)/1000, ROW(M6)), INDEX($C$56:$T$63,0,COLUMN()-2)+ROW($A$56:$A$63)/1000, 0)), "")</f>
        <v>REILLY</v>
      </c>
      <c r="P70" s="1" t="str" cm="1">
        <f t="array" ref="P70">IFERROR(INDEX($A$56:$A$63, MATCH(LARGE(INDEX($C$56:$T$63,0,COLUMN()-2)+ROW($A$56:$A$63)/1000, ROW(N6)), INDEX($C$56:$T$63,0,COLUMN()-2)+ROW($A$56:$A$63)/1000, 0)), "")</f>
        <v>REILLY</v>
      </c>
      <c r="Q70" s="1" t="str" cm="1">
        <f t="array" ref="Q70">IFERROR(INDEX($A$56:$A$63, MATCH(LARGE(INDEX($C$56:$T$63,0,COLUMN()-2)+ROW($A$56:$A$63)/1000, ROW(O6)), INDEX($C$56:$T$63,0,COLUMN()-2)+ROW($A$56:$A$63)/1000, 0)), "")</f>
        <v>REILLY</v>
      </c>
      <c r="R70" s="1" t="str" cm="1">
        <f t="array" ref="R70">IFERROR(INDEX($A$56:$A$63, MATCH(LARGE(INDEX($C$56:$T$63,0,COLUMN()-2)+ROW($A$56:$A$63)/1000, ROW(P6)), INDEX($C$56:$T$63,0,COLUMN()-2)+ROW($A$56:$A$63)/1000, 0)), "")</f>
        <v>STONES</v>
      </c>
      <c r="S70" s="1" t="str" cm="1">
        <f t="array" ref="S70">IFERROR(INDEX($A$56:$A$63, MATCH(LARGE(INDEX($C$56:$T$63,0,COLUMN()-2)+ROW($A$56:$A$63)/1000, ROW(Q6)), INDEX($C$56:$T$63,0,COLUMN()-2)+ROW($A$56:$A$63)/1000, 0)), "")</f>
        <v>LAING</v>
      </c>
      <c r="T70" s="89" t="str" cm="1">
        <f t="array" ref="T70">IFERROR(INDEX($A$56:$A$63, MATCH(LARGE(INDEX($C$56:$T$63,0,COLUMN()-2)+ROW($A$56:$A$63)/1000, ROW(R6)), INDEX($C$56:$T$63,0,COLUMN()-2)+ROW($A$56:$A$63)/1000, 0)), "")</f>
        <v>DONOVAN</v>
      </c>
    </row>
    <row r="71" spans="3:20" x14ac:dyDescent="0.2">
      <c r="C71" s="127" t="str" cm="1">
        <f t="array" ref="C71">IFERROR(INDEX($A$56:$A$63, MATCH(LARGE(INDEX($C$56:$T$63,0,COLUMN()-2)+ROW($A$56:$A$63)/1000, ROW(A7)), INDEX($C$56:$T$63,0,COLUMN()-2)+ROW($A$56:$A$63)/1000, 0)), "")</f>
        <v>DEY</v>
      </c>
      <c r="D71" s="1" t="str" cm="1">
        <f t="array" ref="D71">IFERROR(INDEX($A$56:$A$63, MATCH(LARGE(INDEX($C$56:$T$63,0,COLUMN()-2)+ROW($A$56:$A$63)/1000, ROW(B7)), INDEX($C$56:$T$63,0,COLUMN()-2)+ROW($A$56:$A$63)/1000, 0)), "")</f>
        <v>DONOVAN</v>
      </c>
      <c r="E71" s="1" t="str" cm="1">
        <f t="array" ref="E71">IFERROR(INDEX($A$56:$A$63, MATCH(LARGE(INDEX($C$56:$T$63,0,COLUMN()-2)+ROW($A$56:$A$63)/1000, ROW(C7)), INDEX($C$56:$T$63,0,COLUMN()-2)+ROW($A$56:$A$63)/1000, 0)), "")</f>
        <v>DEY</v>
      </c>
      <c r="F71" s="1" t="str" cm="1">
        <f t="array" ref="F71">IFERROR(INDEX($A$56:$A$63, MATCH(LARGE(INDEX($C$56:$T$63,0,COLUMN()-2)+ROW($A$56:$A$63)/1000, ROW(D7)), INDEX($C$56:$T$63,0,COLUMN()-2)+ROW($A$56:$A$63)/1000, 0)), "")</f>
        <v>DEY</v>
      </c>
      <c r="G71" s="1" t="str" cm="1">
        <f t="array" ref="G71">IFERROR(INDEX($A$56:$A$63, MATCH(LARGE(INDEX($C$56:$T$63,0,COLUMN()-2)+ROW($A$56:$A$63)/1000, ROW(E7)), INDEX($C$56:$T$63,0,COLUMN()-2)+ROW($A$56:$A$63)/1000, 0)), "")</f>
        <v>DEY</v>
      </c>
      <c r="H71" s="1" t="str" cm="1">
        <f t="array" ref="H71">IFERROR(INDEX($A$56:$A$63, MATCH(LARGE(INDEX($C$56:$T$63,0,COLUMN()-2)+ROW($A$56:$A$63)/1000, ROW(F7)), INDEX($C$56:$T$63,0,COLUMN()-2)+ROW($A$56:$A$63)/1000, 0)), "")</f>
        <v>STONES</v>
      </c>
      <c r="I71" s="1" t="str" cm="1">
        <f t="array" ref="I71">IFERROR(INDEX($A$56:$A$63, MATCH(LARGE(INDEX($C$56:$T$63,0,COLUMN()-2)+ROW($A$56:$A$63)/1000, ROW(G7)), INDEX($C$56:$T$63,0,COLUMN()-2)+ROW($A$56:$A$63)/1000, 0)), "")</f>
        <v>LAING</v>
      </c>
      <c r="J71" s="1" t="str" cm="1">
        <f t="array" ref="J71">IFERROR(INDEX($A$56:$A$63, MATCH(LARGE(INDEX($C$56:$T$63,0,COLUMN()-2)+ROW($A$56:$A$63)/1000, ROW(H7)), INDEX($C$56:$T$63,0,COLUMN()-2)+ROW($A$56:$A$63)/1000, 0)), "")</f>
        <v>REILLY</v>
      </c>
      <c r="K71" s="1" t="str" cm="1">
        <f t="array" ref="K71">IFERROR(INDEX($A$56:$A$63, MATCH(LARGE(INDEX($C$56:$T$63,0,COLUMN()-2)+ROW($A$56:$A$63)/1000, ROW(I7)), INDEX($C$56:$T$63,0,COLUMN()-2)+ROW($A$56:$A$63)/1000, 0)), "")</f>
        <v>REILLY</v>
      </c>
      <c r="L71" s="1" t="str" cm="1">
        <f t="array" ref="L71">IFERROR(INDEX($A$56:$A$63, MATCH(LARGE(INDEX($C$56:$T$63,0,COLUMN()-2)+ROW($A$56:$A$63)/1000, ROW(J7)), INDEX($C$56:$T$63,0,COLUMN()-2)+ROW($A$56:$A$63)/1000, 0)), "")</f>
        <v>DEY</v>
      </c>
      <c r="M71" s="1" t="str" cm="1">
        <f t="array" ref="M71">IFERROR(INDEX($A$56:$A$63, MATCH(LARGE(INDEX($C$56:$T$63,0,COLUMN()-2)+ROW($A$56:$A$63)/1000, ROW(K7)), INDEX($C$56:$T$63,0,COLUMN()-2)+ROW($A$56:$A$63)/1000, 0)), "")</f>
        <v>DEY</v>
      </c>
      <c r="N71" s="1" t="str" cm="1">
        <f t="array" ref="N71">IFERROR(INDEX($A$56:$A$63, MATCH(LARGE(INDEX($C$56:$T$63,0,COLUMN()-2)+ROW($A$56:$A$63)/1000, ROW(L7)), INDEX($C$56:$T$63,0,COLUMN()-2)+ROW($A$56:$A$63)/1000, 0)), "")</f>
        <v>DEY</v>
      </c>
      <c r="O71" s="1" t="str" cm="1">
        <f t="array" ref="O71">IFERROR(INDEX($A$56:$A$63, MATCH(LARGE(INDEX($C$56:$T$63,0,COLUMN()-2)+ROW($A$56:$A$63)/1000, ROW(M7)), INDEX($C$56:$T$63,0,COLUMN()-2)+ROW($A$56:$A$63)/1000, 0)), "")</f>
        <v>DEY</v>
      </c>
      <c r="P71" s="1" t="str" cm="1">
        <f t="array" ref="P71">IFERROR(INDEX($A$56:$A$63, MATCH(LARGE(INDEX($C$56:$T$63,0,COLUMN()-2)+ROW($A$56:$A$63)/1000, ROW(N7)), INDEX($C$56:$T$63,0,COLUMN()-2)+ROW($A$56:$A$63)/1000, 0)), "")</f>
        <v>DEY</v>
      </c>
      <c r="Q71" s="1" t="str" cm="1">
        <f t="array" ref="Q71">IFERROR(INDEX($A$56:$A$63, MATCH(LARGE(INDEX($C$56:$T$63,0,COLUMN()-2)+ROW($A$56:$A$63)/1000, ROW(O7)), INDEX($C$56:$T$63,0,COLUMN()-2)+ROW($A$56:$A$63)/1000, 0)), "")</f>
        <v>DEY</v>
      </c>
      <c r="R71" s="1" t="str" cm="1">
        <f t="array" ref="R71">IFERROR(INDEX($A$56:$A$63, MATCH(LARGE(INDEX($C$56:$T$63,0,COLUMN()-2)+ROW($A$56:$A$63)/1000, ROW(P7)), INDEX($C$56:$T$63,0,COLUMN()-2)+ROW($A$56:$A$63)/1000, 0)), "")</f>
        <v>DEY</v>
      </c>
      <c r="S71" s="1" t="str" cm="1">
        <f t="array" ref="S71">IFERROR(INDEX($A$56:$A$63, MATCH(LARGE(INDEX($C$56:$T$63,0,COLUMN()-2)+ROW($A$56:$A$63)/1000, ROW(Q7)), INDEX($C$56:$T$63,0,COLUMN()-2)+ROW($A$56:$A$63)/1000, 0)), "")</f>
        <v>DEY</v>
      </c>
      <c r="T71" s="89" t="str" cm="1">
        <f t="array" ref="T71">IFERROR(INDEX($A$56:$A$63, MATCH(LARGE(INDEX($C$56:$T$63,0,COLUMN()-2)+ROW($A$56:$A$63)/1000, ROW(R7)), INDEX($C$56:$T$63,0,COLUMN()-2)+ROW($A$56:$A$63)/1000, 0)), "")</f>
        <v>DEY</v>
      </c>
    </row>
    <row r="72" spans="3:20" x14ac:dyDescent="0.2">
      <c r="C72" s="128" t="str" cm="1">
        <f t="array" ref="C72">IFERROR(INDEX($A$56:$A$63, MATCH(LARGE(INDEX($C$56:$T$63,0,COLUMN()-2)+ROW($A$56:$A$63)/1000, ROW(A8)), INDEX($C$56:$T$63,0,COLUMN()-2)+ROW($A$56:$A$63)/1000, 0)), "")</f>
        <v>BELLIS</v>
      </c>
      <c r="D72" s="90" t="str" cm="1">
        <f t="array" ref="D72">IFERROR(INDEX($A$56:$A$63, MATCH(LARGE(INDEX($C$56:$T$63,0,COLUMN()-2)+ROW($A$56:$A$63)/1000, ROW(B8)), INDEX($C$56:$T$63,0,COLUMN()-2)+ROW($A$56:$A$63)/1000, 0)), "")</f>
        <v>DEY</v>
      </c>
      <c r="E72" s="90" t="str" cm="1">
        <f t="array" ref="E72">IFERROR(INDEX($A$56:$A$63, MATCH(LARGE(INDEX($C$56:$T$63,0,COLUMN()-2)+ROW($A$56:$A$63)/1000, ROW(C8)), INDEX($C$56:$T$63,0,COLUMN()-2)+ROW($A$56:$A$63)/1000, 0)), "")</f>
        <v>BELLIS</v>
      </c>
      <c r="F72" s="90" t="str" cm="1">
        <f t="array" ref="F72">IFERROR(INDEX($A$56:$A$63, MATCH(LARGE(INDEX($C$56:$T$63,0,COLUMN()-2)+ROW($A$56:$A$63)/1000, ROW(D8)), INDEX($C$56:$T$63,0,COLUMN()-2)+ROW($A$56:$A$63)/1000, 0)), "")</f>
        <v>BELLIS</v>
      </c>
      <c r="G72" s="90" t="str" cm="1">
        <f t="array" ref="G72">IFERROR(INDEX($A$56:$A$63, MATCH(LARGE(INDEX($C$56:$T$63,0,COLUMN()-2)+ROW($A$56:$A$63)/1000, ROW(E8)), INDEX($C$56:$T$63,0,COLUMN()-2)+ROW($A$56:$A$63)/1000, 0)), "")</f>
        <v>BELLIS</v>
      </c>
      <c r="H72" s="90" t="str" cm="1">
        <f t="array" ref="H72">IFERROR(INDEX($A$56:$A$63, MATCH(LARGE(INDEX($C$56:$T$63,0,COLUMN()-2)+ROW($A$56:$A$63)/1000, ROW(F8)), INDEX($C$56:$T$63,0,COLUMN()-2)+ROW($A$56:$A$63)/1000, 0)), "")</f>
        <v>BELLIS</v>
      </c>
      <c r="I72" s="90" t="str" cm="1">
        <f t="array" ref="I72">IFERROR(INDEX($A$56:$A$63, MATCH(LARGE(INDEX($C$56:$T$63,0,COLUMN()-2)+ROW($A$56:$A$63)/1000, ROW(G8)), INDEX($C$56:$T$63,0,COLUMN()-2)+ROW($A$56:$A$63)/1000, 0)), "")</f>
        <v>BELLIS</v>
      </c>
      <c r="J72" s="90" t="str" cm="1">
        <f t="array" ref="J72">IFERROR(INDEX($A$56:$A$63, MATCH(LARGE(INDEX($C$56:$T$63,0,COLUMN()-2)+ROW($A$56:$A$63)/1000, ROW(H8)), INDEX($C$56:$T$63,0,COLUMN()-2)+ROW($A$56:$A$63)/1000, 0)), "")</f>
        <v>BELLIS</v>
      </c>
      <c r="K72" s="90" t="str" cm="1">
        <f t="array" ref="K72">IFERROR(INDEX($A$56:$A$63, MATCH(LARGE(INDEX($C$56:$T$63,0,COLUMN()-2)+ROW($A$56:$A$63)/1000, ROW(I8)), INDEX($C$56:$T$63,0,COLUMN()-2)+ROW($A$56:$A$63)/1000, 0)), "")</f>
        <v>DEY</v>
      </c>
      <c r="L72" s="90" t="str" cm="1">
        <f t="array" ref="L72">IFERROR(INDEX($A$56:$A$63, MATCH(LARGE(INDEX($C$56:$T$63,0,COLUMN()-2)+ROW($A$56:$A$63)/1000, ROW(J8)), INDEX($C$56:$T$63,0,COLUMN()-2)+ROW($A$56:$A$63)/1000, 0)), "")</f>
        <v>BELLIS</v>
      </c>
      <c r="M72" s="90" t="str" cm="1">
        <f t="array" ref="M72">IFERROR(INDEX($A$56:$A$63, MATCH(LARGE(INDEX($C$56:$T$63,0,COLUMN()-2)+ROW($A$56:$A$63)/1000, ROW(K8)), INDEX($C$56:$T$63,0,COLUMN()-2)+ROW($A$56:$A$63)/1000, 0)), "")</f>
        <v>BELLIS</v>
      </c>
      <c r="N72" s="90" t="str" cm="1">
        <f t="array" ref="N72">IFERROR(INDEX($A$56:$A$63, MATCH(LARGE(INDEX($C$56:$T$63,0,COLUMN()-2)+ROW($A$56:$A$63)/1000, ROW(L8)), INDEX($C$56:$T$63,0,COLUMN()-2)+ROW($A$56:$A$63)/1000, 0)), "")</f>
        <v>BELLIS</v>
      </c>
      <c r="O72" s="90" t="str" cm="1">
        <f t="array" ref="O72">IFERROR(INDEX($A$56:$A$63, MATCH(LARGE(INDEX($C$56:$T$63,0,COLUMN()-2)+ROW($A$56:$A$63)/1000, ROW(M8)), INDEX($C$56:$T$63,0,COLUMN()-2)+ROW($A$56:$A$63)/1000, 0)), "")</f>
        <v>BELLIS</v>
      </c>
      <c r="P72" s="90" t="str" cm="1">
        <f t="array" ref="P72">IFERROR(INDEX($A$56:$A$63, MATCH(LARGE(INDEX($C$56:$T$63,0,COLUMN()-2)+ROW($A$56:$A$63)/1000, ROW(N8)), INDEX($C$56:$T$63,0,COLUMN()-2)+ROW($A$56:$A$63)/1000, 0)), "")</f>
        <v>BELLIS</v>
      </c>
      <c r="Q72" s="90" t="str" cm="1">
        <f t="array" ref="Q72">IFERROR(INDEX($A$56:$A$63, MATCH(LARGE(INDEX($C$56:$T$63,0,COLUMN()-2)+ROW($A$56:$A$63)/1000, ROW(O8)), INDEX($C$56:$T$63,0,COLUMN()-2)+ROW($A$56:$A$63)/1000, 0)), "")</f>
        <v>BELLIS</v>
      </c>
      <c r="R72" s="90" t="str" cm="1">
        <f t="array" ref="R72">IFERROR(INDEX($A$56:$A$63, MATCH(LARGE(INDEX($C$56:$T$63,0,COLUMN()-2)+ROW($A$56:$A$63)/1000, ROW(P8)), INDEX($C$56:$T$63,0,COLUMN()-2)+ROW($A$56:$A$63)/1000, 0)), "")</f>
        <v>BELLIS</v>
      </c>
      <c r="S72" s="90" t="str" cm="1">
        <f t="array" ref="S72">IFERROR(INDEX($A$56:$A$63, MATCH(LARGE(INDEX($C$56:$T$63,0,COLUMN()-2)+ROW($A$56:$A$63)/1000, ROW(Q8)), INDEX($C$56:$T$63,0,COLUMN()-2)+ROW($A$56:$A$63)/1000, 0)), "")</f>
        <v>BELLIS</v>
      </c>
      <c r="T72" s="91" t="str" cm="1">
        <f t="array" ref="T72">IFERROR(INDEX($A$56:$A$63, MATCH(LARGE(INDEX($C$56:$T$63,0,COLUMN()-2)+ROW($A$56:$A$63)/1000, ROW(R8)), INDEX($C$56:$T$63,0,COLUMN()-2)+ROW($A$56:$A$63)/1000, 0)), "")</f>
        <v>BELLIS</v>
      </c>
    </row>
    <row r="73" spans="3:20" x14ac:dyDescent="0.2">
      <c r="C73" s="1"/>
    </row>
    <row r="74" spans="3:20" x14ac:dyDescent="0.2">
      <c r="C74" s="1"/>
    </row>
  </sheetData>
  <mergeCells count="2">
    <mergeCell ref="Y1:AG2"/>
    <mergeCell ref="A1:U2"/>
  </mergeCells>
  <conditionalFormatting sqref="C65:T72">
    <cfRule type="expression" dxfId="9" priority="1">
      <formula>VLOOKUP(C65, $A$56:$T$72, COLUMN(C$1), FALSE)=1</formula>
    </cfRule>
    <cfRule type="expression" dxfId="8" priority="2">
      <formula>VLOOKUP(C65, $A$56:$T$72, COLUMN(C$1), FALSE)=2</formula>
    </cfRule>
    <cfRule type="expression" dxfId="7" priority="3">
      <formula>VLOOKUP(C65, $A$56:$T$72, COLUMN(C$1), FALSE)=3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485D-57A2-7847-9DA8-3E18AAC87A54}">
  <dimension ref="A2:W81"/>
  <sheetViews>
    <sheetView topLeftCell="A11" workbookViewId="0">
      <selection activeCell="J81" sqref="J81"/>
    </sheetView>
  </sheetViews>
  <sheetFormatPr baseColWidth="10" defaultColWidth="8.83203125" defaultRowHeight="15" x14ac:dyDescent="0.2"/>
  <cols>
    <col min="1" max="1" width="31.83203125" customWidth="1"/>
    <col min="2" max="2" width="10.1640625" customWidth="1"/>
    <col min="7" max="7" width="10" customWidth="1"/>
  </cols>
  <sheetData>
    <row r="2" spans="1:4" x14ac:dyDescent="0.2">
      <c r="A2" t="s">
        <v>76</v>
      </c>
    </row>
    <row r="3" spans="1:4" x14ac:dyDescent="0.2">
      <c r="A3" s="80"/>
      <c r="B3" s="81" t="s">
        <v>28</v>
      </c>
      <c r="C3" s="81"/>
      <c r="D3" s="82"/>
    </row>
    <row r="4" spans="1:4" x14ac:dyDescent="0.2">
      <c r="A4" s="83"/>
      <c r="D4" s="84"/>
    </row>
    <row r="5" spans="1:4" x14ac:dyDescent="0.2">
      <c r="A5" s="83"/>
      <c r="D5" s="84"/>
    </row>
    <row r="6" spans="1:4" x14ac:dyDescent="0.2">
      <c r="A6" s="111" t="s">
        <v>30</v>
      </c>
      <c r="B6" t="s">
        <v>29</v>
      </c>
      <c r="C6" t="s">
        <v>31</v>
      </c>
      <c r="D6" s="84" t="s">
        <v>32</v>
      </c>
    </row>
    <row r="7" spans="1:4" x14ac:dyDescent="0.2">
      <c r="A7" s="83">
        <f>'RND 3 MSTB'!AD14</f>
        <v>1</v>
      </c>
      <c r="B7" t="str">
        <f>'RND 3 MSTB'!AE14</f>
        <v>STONES</v>
      </c>
      <c r="C7">
        <f>'RND 3 MSTB'!AF14</f>
        <v>-6</v>
      </c>
      <c r="D7" s="84">
        <f>'RND 3 MSTB'!AG14</f>
        <v>24</v>
      </c>
    </row>
    <row r="8" spans="1:4" x14ac:dyDescent="0.2">
      <c r="A8" s="83">
        <f>'RND 3 MSTB'!AD15</f>
        <v>2</v>
      </c>
      <c r="B8" t="str">
        <f>'RND 3 MSTB'!AE15</f>
        <v>REILLY</v>
      </c>
      <c r="C8">
        <f>'RND 3 MSTB'!AF15</f>
        <v>-7</v>
      </c>
      <c r="D8" s="84">
        <f>'RND 3 MSTB'!AG15</f>
        <v>21</v>
      </c>
    </row>
    <row r="9" spans="1:4" x14ac:dyDescent="0.2">
      <c r="A9" s="83">
        <f>'RND 3 MSTB'!AD16</f>
        <v>3</v>
      </c>
      <c r="B9" t="str">
        <f>'RND 3 MSTB'!AE16</f>
        <v>LAING</v>
      </c>
      <c r="C9">
        <f>'RND 3 MSTB'!AF16</f>
        <v>-8</v>
      </c>
      <c r="D9" s="84">
        <f>'RND 3 MSTB'!AG16</f>
        <v>18</v>
      </c>
    </row>
    <row r="10" spans="1:4" x14ac:dyDescent="0.2">
      <c r="A10" s="83">
        <f>'RND 3 MSTB'!AD17</f>
        <v>4</v>
      </c>
      <c r="B10" t="str">
        <f>'RND 3 MSTB'!AE17</f>
        <v>HOLLANDS</v>
      </c>
      <c r="C10">
        <f>'RND 3 MSTB'!AF17</f>
        <v>-9</v>
      </c>
      <c r="D10" s="84">
        <f>'RND 3 MSTB'!AG17</f>
        <v>15</v>
      </c>
    </row>
    <row r="11" spans="1:4" x14ac:dyDescent="0.2">
      <c r="A11" s="83">
        <f>'RND 3 MSTB'!AD18</f>
        <v>5</v>
      </c>
      <c r="B11" t="str">
        <f>'RND 3 MSTB'!AE18</f>
        <v>FINDLAY</v>
      </c>
      <c r="C11">
        <f>'RND 3 MSTB'!AF18</f>
        <v>-12</v>
      </c>
      <c r="D11" s="84">
        <f>'RND 3 MSTB'!AG18</f>
        <v>12</v>
      </c>
    </row>
    <row r="12" spans="1:4" x14ac:dyDescent="0.2">
      <c r="A12" s="83">
        <f>'RND 3 MSTB'!AD19</f>
        <v>6</v>
      </c>
      <c r="B12" t="str">
        <f>'RND 3 MSTB'!AE19</f>
        <v>DONOVAN</v>
      </c>
      <c r="C12">
        <f>'RND 3 MSTB'!AF19</f>
        <v>-15</v>
      </c>
      <c r="D12" s="84">
        <f>'RND 3 MSTB'!AG19</f>
        <v>9</v>
      </c>
    </row>
    <row r="13" spans="1:4" x14ac:dyDescent="0.2">
      <c r="A13" s="83">
        <f>'RND 3 MSTB'!AD20</f>
        <v>7</v>
      </c>
      <c r="B13" t="str">
        <f>'RND 3 MSTB'!AE20</f>
        <v>DEY</v>
      </c>
      <c r="C13">
        <f>'RND 3 MSTB'!AF20</f>
        <v>-16</v>
      </c>
      <c r="D13" s="84">
        <f>'RND 3 MSTB'!AG20</f>
        <v>6</v>
      </c>
    </row>
    <row r="14" spans="1:4" x14ac:dyDescent="0.2">
      <c r="A14" s="83">
        <f>'RND 3 MSTB'!AD21</f>
        <v>8</v>
      </c>
      <c r="B14" t="str">
        <f>'RND 3 MSTB'!AE21</f>
        <v>BELLIS</v>
      </c>
      <c r="C14">
        <f>'RND 3 MSTB'!AF21</f>
        <v>-17</v>
      </c>
      <c r="D14" s="84">
        <f>'RND 3 MSTB'!AG21</f>
        <v>3</v>
      </c>
    </row>
    <row r="15" spans="1:4" x14ac:dyDescent="0.2">
      <c r="A15" s="85"/>
      <c r="B15" s="86"/>
      <c r="C15" s="86"/>
      <c r="D15" s="87"/>
    </row>
    <row r="21" spans="1:23" x14ac:dyDescent="0.2">
      <c r="A21" t="s">
        <v>12</v>
      </c>
    </row>
    <row r="22" spans="1:23" x14ac:dyDescent="0.2">
      <c r="A22" s="80" t="s">
        <v>1</v>
      </c>
      <c r="B22" s="77" t="s">
        <v>15</v>
      </c>
      <c r="D22" s="96" t="s">
        <v>25</v>
      </c>
      <c r="E22" s="92">
        <v>1</v>
      </c>
      <c r="F22" s="92">
        <v>2</v>
      </c>
      <c r="G22" s="92">
        <v>3</v>
      </c>
      <c r="H22" s="92">
        <v>4</v>
      </c>
      <c r="I22" s="92">
        <v>5</v>
      </c>
      <c r="J22" s="92">
        <v>6</v>
      </c>
      <c r="K22" s="92">
        <v>7</v>
      </c>
      <c r="L22" s="92">
        <v>8</v>
      </c>
      <c r="M22" s="92">
        <v>9</v>
      </c>
      <c r="N22" s="92">
        <v>10</v>
      </c>
      <c r="O22" s="92">
        <v>11</v>
      </c>
      <c r="P22" s="92">
        <v>12</v>
      </c>
      <c r="Q22" s="92">
        <v>13</v>
      </c>
      <c r="R22" s="92">
        <v>14</v>
      </c>
      <c r="S22" s="92">
        <v>15</v>
      </c>
      <c r="T22" s="92">
        <v>16</v>
      </c>
      <c r="U22" s="92">
        <v>17</v>
      </c>
      <c r="V22" s="92">
        <v>18</v>
      </c>
      <c r="W22" s="88" t="s">
        <v>2</v>
      </c>
    </row>
    <row r="23" spans="1:23" ht="19" x14ac:dyDescent="0.25">
      <c r="A23" s="83"/>
      <c r="B23" s="78"/>
      <c r="D23" s="94" t="s">
        <v>23</v>
      </c>
      <c r="E23" s="93">
        <f>'RND 1 STBL'!C5</f>
        <v>4</v>
      </c>
      <c r="F23" s="93">
        <f>'RND 1 STBL'!D5</f>
        <v>3</v>
      </c>
      <c r="G23" s="93">
        <f>'RND 1 STBL'!E5</f>
        <v>4</v>
      </c>
      <c r="H23" s="93">
        <f>'RND 1 STBL'!F5</f>
        <v>4</v>
      </c>
      <c r="I23" s="93">
        <f>'RND 1 STBL'!G5</f>
        <v>4</v>
      </c>
      <c r="J23" s="93">
        <f>'RND 1 STBL'!H5</f>
        <v>4</v>
      </c>
      <c r="K23" s="93">
        <f>'RND 1 STBL'!I5</f>
        <v>4</v>
      </c>
      <c r="L23" s="93">
        <f>'RND 1 STBL'!J5</f>
        <v>3</v>
      </c>
      <c r="M23" s="93">
        <f>'RND 1 STBL'!K5</f>
        <v>5</v>
      </c>
      <c r="N23" s="93">
        <f>'RND 1 STBL'!L5</f>
        <v>5</v>
      </c>
      <c r="O23" s="93">
        <f>'RND 1 STBL'!M5</f>
        <v>4</v>
      </c>
      <c r="P23" s="93">
        <f>'RND 1 STBL'!N5</f>
        <v>3</v>
      </c>
      <c r="Q23" s="93">
        <f>'RND 1 STBL'!O5</f>
        <v>5</v>
      </c>
      <c r="R23" s="93">
        <f>'RND 1 STBL'!P5</f>
        <v>4</v>
      </c>
      <c r="S23" s="93">
        <f>'RND 1 STBL'!Q5</f>
        <v>5</v>
      </c>
      <c r="T23" s="93">
        <f>'RND 1 STBL'!R5</f>
        <v>4</v>
      </c>
      <c r="U23" s="93">
        <f>'RND 1 STBL'!S5</f>
        <v>3</v>
      </c>
      <c r="V23" s="93">
        <f>'RND 1 STBL'!T5</f>
        <v>4</v>
      </c>
      <c r="W23" s="88"/>
    </row>
    <row r="24" spans="1:23" x14ac:dyDescent="0.2">
      <c r="A24" s="83"/>
      <c r="B24" s="78"/>
      <c r="D24" s="94" t="s">
        <v>24</v>
      </c>
      <c r="E24" s="95">
        <f>'RND 1 STBL'!C6</f>
        <v>9</v>
      </c>
      <c r="F24" s="95">
        <f>'RND 1 STBL'!D6</f>
        <v>13</v>
      </c>
      <c r="G24" s="95">
        <f>'RND 1 STBL'!E6</f>
        <v>5</v>
      </c>
      <c r="H24" s="95">
        <f>'RND 1 STBL'!F6</f>
        <v>1</v>
      </c>
      <c r="I24" s="95">
        <f>'RND 1 STBL'!G6</f>
        <v>11</v>
      </c>
      <c r="J24" s="95">
        <f>'RND 1 STBL'!H6</f>
        <v>15</v>
      </c>
      <c r="K24" s="95">
        <f>'RND 1 STBL'!I6</f>
        <v>7</v>
      </c>
      <c r="L24" s="95">
        <f>'RND 1 STBL'!J6</f>
        <v>17</v>
      </c>
      <c r="M24" s="95">
        <f>'RND 1 STBL'!K6</f>
        <v>3</v>
      </c>
      <c r="N24" s="95">
        <f>'RND 1 STBL'!L6</f>
        <v>4</v>
      </c>
      <c r="O24" s="95">
        <f>'RND 1 STBL'!M6</f>
        <v>14</v>
      </c>
      <c r="P24" s="95">
        <f>'RND 1 STBL'!N6</f>
        <v>16</v>
      </c>
      <c r="Q24" s="95">
        <f>'RND 1 STBL'!O6</f>
        <v>10</v>
      </c>
      <c r="R24" s="95">
        <f>'RND 1 STBL'!P6</f>
        <v>6</v>
      </c>
      <c r="S24" s="95">
        <f>'RND 1 STBL'!Q6</f>
        <v>8</v>
      </c>
      <c r="T24" s="95">
        <f>'RND 1 STBL'!R6</f>
        <v>12</v>
      </c>
      <c r="U24" s="95">
        <f>'RND 1 STBL'!S6</f>
        <v>18</v>
      </c>
      <c r="V24" s="95">
        <f>'RND 1 STBL'!T6</f>
        <v>2</v>
      </c>
      <c r="W24" s="88"/>
    </row>
    <row r="25" spans="1:23" x14ac:dyDescent="0.2">
      <c r="B25" s="78"/>
      <c r="D25" s="8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89"/>
    </row>
    <row r="26" spans="1:23" x14ac:dyDescent="0.2">
      <c r="A26" s="83" t="str">
        <f>'RND 3 MSTB'!A7</f>
        <v>BELLIS</v>
      </c>
      <c r="B26" s="78">
        <f>'RND 3 MSTB'!B7</f>
        <v>1</v>
      </c>
      <c r="D26" s="83"/>
      <c r="E26" s="1">
        <f>'RND 3 MSTB'!C7</f>
        <v>5</v>
      </c>
      <c r="F26" s="1">
        <f>'RND 3 MSTB'!D7</f>
        <v>5</v>
      </c>
      <c r="G26" s="1">
        <f>'RND 3 MSTB'!E7</f>
        <v>5</v>
      </c>
      <c r="H26" s="1">
        <f>'RND 3 MSTB'!F7</f>
        <v>5</v>
      </c>
      <c r="I26" s="1">
        <f>'RND 3 MSTB'!G7</f>
        <v>5</v>
      </c>
      <c r="J26" s="1">
        <f>'RND 3 MSTB'!H7</f>
        <v>5</v>
      </c>
      <c r="K26" s="1">
        <f>'RND 3 MSTB'!I7</f>
        <v>5</v>
      </c>
      <c r="L26" s="1">
        <f>'RND 3 MSTB'!J7</f>
        <v>5</v>
      </c>
      <c r="M26" s="1">
        <f>'RND 3 MSTB'!K7</f>
        <v>5</v>
      </c>
      <c r="N26" s="1">
        <f>'RND 3 MSTB'!L7</f>
        <v>5</v>
      </c>
      <c r="O26" s="1">
        <f>'RND 3 MSTB'!M7</f>
        <v>5</v>
      </c>
      <c r="P26" s="1">
        <f>'RND 3 MSTB'!N7</f>
        <v>5</v>
      </c>
      <c r="Q26" s="1">
        <f>'RND 3 MSTB'!O7</f>
        <v>5</v>
      </c>
      <c r="R26" s="1">
        <f>'RND 3 MSTB'!P7</f>
        <v>5</v>
      </c>
      <c r="S26" s="1">
        <f>'RND 3 MSTB'!Q7</f>
        <v>5</v>
      </c>
      <c r="T26" s="1">
        <f>'RND 3 MSTB'!R7</f>
        <v>5</v>
      </c>
      <c r="U26" s="1">
        <f>'RND 3 MSTB'!S7</f>
        <v>5</v>
      </c>
      <c r="V26" s="1">
        <f>'RND 3 MSTB'!T7</f>
        <v>5</v>
      </c>
      <c r="W26" s="89">
        <f>'RND 3 MSTB'!U7</f>
        <v>90</v>
      </c>
    </row>
    <row r="27" spans="1:23" x14ac:dyDescent="0.2">
      <c r="A27" s="83" t="str">
        <f>'RND 3 MSTB'!A8</f>
        <v>DEY</v>
      </c>
      <c r="B27" s="78">
        <f>'RND 3 MSTB'!B8</f>
        <v>2</v>
      </c>
      <c r="D27" s="83"/>
      <c r="E27" s="1">
        <f>'RND 3 MSTB'!C8</f>
        <v>5</v>
      </c>
      <c r="F27" s="1">
        <f>'RND 3 MSTB'!D8</f>
        <v>5</v>
      </c>
      <c r="G27" s="1">
        <f>'RND 3 MSTB'!E8</f>
        <v>5</v>
      </c>
      <c r="H27" s="1">
        <f>'RND 3 MSTB'!F8</f>
        <v>5</v>
      </c>
      <c r="I27" s="1">
        <f>'RND 3 MSTB'!G8</f>
        <v>5</v>
      </c>
      <c r="J27" s="1">
        <f>'RND 3 MSTB'!H8</f>
        <v>5</v>
      </c>
      <c r="K27" s="1">
        <f>'RND 3 MSTB'!I8</f>
        <v>5</v>
      </c>
      <c r="L27" s="1">
        <f>'RND 3 MSTB'!J8</f>
        <v>5</v>
      </c>
      <c r="M27" s="1">
        <f>'RND 3 MSTB'!K8</f>
        <v>5</v>
      </c>
      <c r="N27" s="1">
        <f>'RND 3 MSTB'!L8</f>
        <v>5</v>
      </c>
      <c r="O27" s="1">
        <f>'RND 3 MSTB'!M8</f>
        <v>5</v>
      </c>
      <c r="P27" s="1">
        <f>'RND 3 MSTB'!N8</f>
        <v>5</v>
      </c>
      <c r="Q27" s="1">
        <f>'RND 3 MSTB'!O8</f>
        <v>5</v>
      </c>
      <c r="R27" s="1">
        <f>'RND 3 MSTB'!P8</f>
        <v>5</v>
      </c>
      <c r="S27" s="1">
        <f>'RND 3 MSTB'!Q8</f>
        <v>5</v>
      </c>
      <c r="T27" s="1">
        <f>'RND 3 MSTB'!R8</f>
        <v>5</v>
      </c>
      <c r="U27" s="1">
        <f>'RND 3 MSTB'!S8</f>
        <v>5</v>
      </c>
      <c r="V27" s="1">
        <f>'RND 3 MSTB'!T8</f>
        <v>5</v>
      </c>
      <c r="W27" s="89">
        <f>'RND 3 MSTB'!U8</f>
        <v>90</v>
      </c>
    </row>
    <row r="28" spans="1:23" x14ac:dyDescent="0.2">
      <c r="A28" s="83" t="str">
        <f>'RND 3 MSTB'!A9</f>
        <v>DONOVAN</v>
      </c>
      <c r="B28" s="78">
        <f>'RND 3 MSTB'!B9</f>
        <v>3</v>
      </c>
      <c r="D28" s="83"/>
      <c r="E28" s="1">
        <f>'RND 3 MSTB'!C9</f>
        <v>5</v>
      </c>
      <c r="F28" s="1">
        <f>'RND 3 MSTB'!D9</f>
        <v>5</v>
      </c>
      <c r="G28" s="1">
        <f>'RND 3 MSTB'!E9</f>
        <v>5</v>
      </c>
      <c r="H28" s="1">
        <f>'RND 3 MSTB'!F9</f>
        <v>5</v>
      </c>
      <c r="I28" s="1">
        <f>'RND 3 MSTB'!G9</f>
        <v>5</v>
      </c>
      <c r="J28" s="1">
        <f>'RND 3 MSTB'!H9</f>
        <v>5</v>
      </c>
      <c r="K28" s="1">
        <f>'RND 3 MSTB'!I9</f>
        <v>5</v>
      </c>
      <c r="L28" s="1">
        <f>'RND 3 MSTB'!J9</f>
        <v>5</v>
      </c>
      <c r="M28" s="1">
        <f>'RND 3 MSTB'!K9</f>
        <v>5</v>
      </c>
      <c r="N28" s="1">
        <f>'RND 3 MSTB'!L9</f>
        <v>5</v>
      </c>
      <c r="O28" s="1">
        <f>'RND 3 MSTB'!M9</f>
        <v>5</v>
      </c>
      <c r="P28" s="1">
        <f>'RND 3 MSTB'!N9</f>
        <v>5</v>
      </c>
      <c r="Q28" s="1">
        <f>'RND 3 MSTB'!O9</f>
        <v>5</v>
      </c>
      <c r="R28" s="1">
        <f>'RND 3 MSTB'!P9</f>
        <v>5</v>
      </c>
      <c r="S28" s="1">
        <f>'RND 3 MSTB'!Q9</f>
        <v>5</v>
      </c>
      <c r="T28" s="1">
        <f>'RND 3 MSTB'!R9</f>
        <v>5</v>
      </c>
      <c r="U28" s="1">
        <f>'RND 3 MSTB'!S9</f>
        <v>5</v>
      </c>
      <c r="V28" s="1">
        <f>'RND 3 MSTB'!T9</f>
        <v>5</v>
      </c>
      <c r="W28" s="89">
        <f>'RND 3 MSTB'!U9</f>
        <v>90</v>
      </c>
    </row>
    <row r="29" spans="1:23" x14ac:dyDescent="0.2">
      <c r="A29" s="83" t="str">
        <f>'RND 3 MSTB'!A10</f>
        <v>FINDLAY</v>
      </c>
      <c r="B29" s="78">
        <f>'RND 3 MSTB'!B10</f>
        <v>4</v>
      </c>
      <c r="D29" s="83"/>
      <c r="E29" s="1">
        <f>'RND 3 MSTB'!C10</f>
        <v>5</v>
      </c>
      <c r="F29" s="1">
        <f>'RND 3 MSTB'!D10</f>
        <v>5</v>
      </c>
      <c r="G29" s="1">
        <f>'RND 3 MSTB'!E10</f>
        <v>5</v>
      </c>
      <c r="H29" s="1">
        <f>'RND 3 MSTB'!F10</f>
        <v>5</v>
      </c>
      <c r="I29" s="1">
        <f>'RND 3 MSTB'!G10</f>
        <v>5</v>
      </c>
      <c r="J29" s="1">
        <f>'RND 3 MSTB'!H10</f>
        <v>5</v>
      </c>
      <c r="K29" s="1">
        <f>'RND 3 MSTB'!I10</f>
        <v>5</v>
      </c>
      <c r="L29" s="1">
        <f>'RND 3 MSTB'!J10</f>
        <v>5</v>
      </c>
      <c r="M29" s="1">
        <f>'RND 3 MSTB'!K10</f>
        <v>5</v>
      </c>
      <c r="N29" s="1">
        <f>'RND 3 MSTB'!L10</f>
        <v>5</v>
      </c>
      <c r="O29" s="1">
        <f>'RND 3 MSTB'!M10</f>
        <v>5</v>
      </c>
      <c r="P29" s="1">
        <f>'RND 3 MSTB'!N10</f>
        <v>5</v>
      </c>
      <c r="Q29" s="1">
        <f>'RND 3 MSTB'!O10</f>
        <v>5</v>
      </c>
      <c r="R29" s="1">
        <f>'RND 3 MSTB'!P10</f>
        <v>5</v>
      </c>
      <c r="S29" s="1">
        <f>'RND 3 MSTB'!Q10</f>
        <v>5</v>
      </c>
      <c r="T29" s="1">
        <f>'RND 3 MSTB'!R10</f>
        <v>5</v>
      </c>
      <c r="U29" s="1">
        <f>'RND 3 MSTB'!S10</f>
        <v>5</v>
      </c>
      <c r="V29" s="1">
        <f>'RND 3 MSTB'!T10</f>
        <v>5</v>
      </c>
      <c r="W29" s="89">
        <f>'RND 3 MSTB'!U10</f>
        <v>90</v>
      </c>
    </row>
    <row r="30" spans="1:23" x14ac:dyDescent="0.2">
      <c r="A30" s="83" t="str">
        <f>'RND 3 MSTB'!A11</f>
        <v>HOLLANDS</v>
      </c>
      <c r="B30" s="78">
        <f>'RND 3 MSTB'!B11</f>
        <v>5</v>
      </c>
      <c r="D30" s="83"/>
      <c r="E30" s="1">
        <f>'RND 3 MSTB'!C11</f>
        <v>5</v>
      </c>
      <c r="F30" s="1">
        <f>'RND 3 MSTB'!D11</f>
        <v>5</v>
      </c>
      <c r="G30" s="1">
        <f>'RND 3 MSTB'!E11</f>
        <v>5</v>
      </c>
      <c r="H30" s="1">
        <f>'RND 3 MSTB'!F11</f>
        <v>5</v>
      </c>
      <c r="I30" s="1">
        <f>'RND 3 MSTB'!G11</f>
        <v>5</v>
      </c>
      <c r="J30" s="1">
        <f>'RND 3 MSTB'!H11</f>
        <v>5</v>
      </c>
      <c r="K30" s="1">
        <f>'RND 3 MSTB'!I11</f>
        <v>5</v>
      </c>
      <c r="L30" s="1">
        <f>'RND 3 MSTB'!J11</f>
        <v>5</v>
      </c>
      <c r="M30" s="1">
        <f>'RND 3 MSTB'!K11</f>
        <v>5</v>
      </c>
      <c r="N30" s="1">
        <f>'RND 3 MSTB'!L11</f>
        <v>5</v>
      </c>
      <c r="O30" s="1">
        <f>'RND 3 MSTB'!M11</f>
        <v>5</v>
      </c>
      <c r="P30" s="1">
        <f>'RND 3 MSTB'!N11</f>
        <v>5</v>
      </c>
      <c r="Q30" s="1">
        <f>'RND 3 MSTB'!O11</f>
        <v>5</v>
      </c>
      <c r="R30" s="1">
        <f>'RND 3 MSTB'!P11</f>
        <v>5</v>
      </c>
      <c r="S30" s="1">
        <f>'RND 3 MSTB'!Q11</f>
        <v>5</v>
      </c>
      <c r="T30" s="1">
        <f>'RND 3 MSTB'!R11</f>
        <v>5</v>
      </c>
      <c r="U30" s="1">
        <f>'RND 3 MSTB'!S11</f>
        <v>5</v>
      </c>
      <c r="V30" s="1">
        <f>'RND 3 MSTB'!T11</f>
        <v>5</v>
      </c>
      <c r="W30" s="89">
        <f>'RND 3 MSTB'!U11</f>
        <v>90</v>
      </c>
    </row>
    <row r="31" spans="1:23" x14ac:dyDescent="0.2">
      <c r="A31" s="83" t="str">
        <f>'RND 3 MSTB'!A12</f>
        <v>LAING</v>
      </c>
      <c r="B31" s="78">
        <f>'RND 3 MSTB'!B12</f>
        <v>6</v>
      </c>
      <c r="D31" s="83"/>
      <c r="E31" s="1">
        <f>'RND 3 MSTB'!C12</f>
        <v>5</v>
      </c>
      <c r="F31" s="1">
        <f>'RND 3 MSTB'!D12</f>
        <v>5</v>
      </c>
      <c r="G31" s="1">
        <f>'RND 3 MSTB'!E12</f>
        <v>5</v>
      </c>
      <c r="H31" s="1">
        <f>'RND 3 MSTB'!F12</f>
        <v>5</v>
      </c>
      <c r="I31" s="1">
        <f>'RND 3 MSTB'!G12</f>
        <v>5</v>
      </c>
      <c r="J31" s="1">
        <f>'RND 3 MSTB'!H12</f>
        <v>5</v>
      </c>
      <c r="K31" s="1">
        <f>'RND 3 MSTB'!I12</f>
        <v>5</v>
      </c>
      <c r="L31" s="1">
        <f>'RND 3 MSTB'!J12</f>
        <v>5</v>
      </c>
      <c r="M31" s="1">
        <f>'RND 3 MSTB'!K12</f>
        <v>5</v>
      </c>
      <c r="N31" s="1">
        <f>'RND 3 MSTB'!L12</f>
        <v>5</v>
      </c>
      <c r="O31" s="1">
        <f>'RND 3 MSTB'!M12</f>
        <v>5</v>
      </c>
      <c r="P31" s="1">
        <f>'RND 3 MSTB'!N12</f>
        <v>5</v>
      </c>
      <c r="Q31" s="1">
        <f>'RND 3 MSTB'!O12</f>
        <v>5</v>
      </c>
      <c r="R31" s="1">
        <f>'RND 3 MSTB'!P12</f>
        <v>5</v>
      </c>
      <c r="S31" s="1">
        <f>'RND 3 MSTB'!Q12</f>
        <v>5</v>
      </c>
      <c r="T31" s="1">
        <f>'RND 3 MSTB'!R12</f>
        <v>5</v>
      </c>
      <c r="U31" s="1">
        <f>'RND 3 MSTB'!S12</f>
        <v>5</v>
      </c>
      <c r="V31" s="1">
        <f>'RND 3 MSTB'!T12</f>
        <v>5</v>
      </c>
      <c r="W31" s="89">
        <f>'RND 3 MSTB'!U12</f>
        <v>90</v>
      </c>
    </row>
    <row r="32" spans="1:23" x14ac:dyDescent="0.2">
      <c r="A32" s="83" t="str">
        <f>'RND 3 MSTB'!A13</f>
        <v>REILLY</v>
      </c>
      <c r="B32" s="78">
        <f>'RND 3 MSTB'!B13</f>
        <v>7</v>
      </c>
      <c r="D32" s="83"/>
      <c r="E32" s="1">
        <f>'RND 3 MSTB'!C13</f>
        <v>5</v>
      </c>
      <c r="F32" s="1">
        <f>'RND 3 MSTB'!D13</f>
        <v>5</v>
      </c>
      <c r="G32" s="1">
        <f>'RND 3 MSTB'!E13</f>
        <v>5</v>
      </c>
      <c r="H32" s="1">
        <f>'RND 3 MSTB'!F13</f>
        <v>5</v>
      </c>
      <c r="I32" s="1">
        <f>'RND 3 MSTB'!G13</f>
        <v>5</v>
      </c>
      <c r="J32" s="1">
        <f>'RND 3 MSTB'!H13</f>
        <v>5</v>
      </c>
      <c r="K32" s="1">
        <f>'RND 3 MSTB'!I13</f>
        <v>5</v>
      </c>
      <c r="L32" s="1">
        <f>'RND 3 MSTB'!J13</f>
        <v>5</v>
      </c>
      <c r="M32" s="1">
        <f>'RND 3 MSTB'!K13</f>
        <v>5</v>
      </c>
      <c r="N32" s="1">
        <f>'RND 3 MSTB'!L13</f>
        <v>5</v>
      </c>
      <c r="O32" s="1">
        <f>'RND 3 MSTB'!M13</f>
        <v>5</v>
      </c>
      <c r="P32" s="1">
        <f>'RND 3 MSTB'!N13</f>
        <v>5</v>
      </c>
      <c r="Q32" s="1">
        <f>'RND 3 MSTB'!O13</f>
        <v>5</v>
      </c>
      <c r="R32" s="1">
        <f>'RND 3 MSTB'!P13</f>
        <v>5</v>
      </c>
      <c r="S32" s="1">
        <f>'RND 3 MSTB'!Q13</f>
        <v>5</v>
      </c>
      <c r="T32" s="1">
        <f>'RND 3 MSTB'!R13</f>
        <v>5</v>
      </c>
      <c r="U32" s="1">
        <f>'RND 3 MSTB'!S13</f>
        <v>5</v>
      </c>
      <c r="V32" s="1">
        <f>'RND 3 MSTB'!T13</f>
        <v>5</v>
      </c>
      <c r="W32" s="89">
        <f>'RND 3 MSTB'!U13</f>
        <v>90</v>
      </c>
    </row>
    <row r="33" spans="1:23" x14ac:dyDescent="0.2">
      <c r="A33" s="85" t="str">
        <f>'RND 3 MSTB'!A14</f>
        <v>STONES</v>
      </c>
      <c r="B33" s="79">
        <f>'RND 3 MSTB'!B14</f>
        <v>8</v>
      </c>
      <c r="D33" s="85"/>
      <c r="E33" s="90">
        <f>'RND 3 MSTB'!C14</f>
        <v>5</v>
      </c>
      <c r="F33" s="90">
        <f>'RND 3 MSTB'!D14</f>
        <v>5</v>
      </c>
      <c r="G33" s="90">
        <f>'RND 3 MSTB'!E14</f>
        <v>5</v>
      </c>
      <c r="H33" s="90">
        <f>'RND 3 MSTB'!F14</f>
        <v>5</v>
      </c>
      <c r="I33" s="90">
        <f>'RND 3 MSTB'!G14</f>
        <v>5</v>
      </c>
      <c r="J33" s="90">
        <f>'RND 3 MSTB'!H14</f>
        <v>5</v>
      </c>
      <c r="K33" s="90">
        <f>'RND 3 MSTB'!I14</f>
        <v>5</v>
      </c>
      <c r="L33" s="90">
        <f>'RND 3 MSTB'!J14</f>
        <v>5</v>
      </c>
      <c r="M33" s="90">
        <f>'RND 3 MSTB'!K14</f>
        <v>5</v>
      </c>
      <c r="N33" s="90">
        <f>'RND 3 MSTB'!L14</f>
        <v>5</v>
      </c>
      <c r="O33" s="90">
        <f>'RND 3 MSTB'!M14</f>
        <v>5</v>
      </c>
      <c r="P33" s="90">
        <f>'RND 3 MSTB'!N14</f>
        <v>5</v>
      </c>
      <c r="Q33" s="90">
        <f>'RND 3 MSTB'!O14</f>
        <v>5</v>
      </c>
      <c r="R33" s="90">
        <f>'RND 3 MSTB'!P14</f>
        <v>5</v>
      </c>
      <c r="S33" s="90">
        <f>'RND 3 MSTB'!Q14</f>
        <v>5</v>
      </c>
      <c r="T33" s="90">
        <f>'RND 3 MSTB'!R14</f>
        <v>5</v>
      </c>
      <c r="U33" s="90">
        <f>'RND 3 MSTB'!S14</f>
        <v>5</v>
      </c>
      <c r="V33" s="90">
        <f>'RND 3 MSTB'!T14</f>
        <v>5</v>
      </c>
      <c r="W33" s="91">
        <f>'RND 3 MSTB'!U14</f>
        <v>90</v>
      </c>
    </row>
    <row r="37" spans="1:23" x14ac:dyDescent="0.2">
      <c r="A37" t="s">
        <v>77</v>
      </c>
    </row>
    <row r="38" spans="1:23" x14ac:dyDescent="0.2">
      <c r="A38" s="80" t="s">
        <v>1</v>
      </c>
      <c r="B38" s="77" t="s">
        <v>15</v>
      </c>
      <c r="D38" s="96" t="s">
        <v>25</v>
      </c>
      <c r="E38" s="92">
        <v>1</v>
      </c>
      <c r="F38" s="92">
        <v>2</v>
      </c>
      <c r="G38" s="92">
        <v>3</v>
      </c>
      <c r="H38" s="92">
        <v>4</v>
      </c>
      <c r="I38" s="92">
        <v>5</v>
      </c>
      <c r="J38" s="92">
        <v>6</v>
      </c>
      <c r="K38" s="92">
        <v>7</v>
      </c>
      <c r="L38" s="92">
        <v>8</v>
      </c>
      <c r="M38" s="92">
        <v>9</v>
      </c>
      <c r="N38" s="92">
        <v>10</v>
      </c>
      <c r="O38" s="92">
        <v>11</v>
      </c>
      <c r="P38" s="92">
        <v>12</v>
      </c>
      <c r="Q38" s="92">
        <v>13</v>
      </c>
      <c r="R38" s="92">
        <v>14</v>
      </c>
      <c r="S38" s="92">
        <v>15</v>
      </c>
      <c r="T38" s="92">
        <v>16</v>
      </c>
      <c r="U38" s="92">
        <v>17</v>
      </c>
      <c r="V38" s="92">
        <v>18</v>
      </c>
      <c r="W38" s="88" t="s">
        <v>2</v>
      </c>
    </row>
    <row r="39" spans="1:23" ht="19" x14ac:dyDescent="0.25">
      <c r="A39" s="83"/>
      <c r="B39" s="78"/>
      <c r="D39" s="94" t="s">
        <v>23</v>
      </c>
      <c r="E39" s="93">
        <f>E23</f>
        <v>4</v>
      </c>
      <c r="F39" s="93">
        <f t="shared" ref="F39:V40" si="0">F23</f>
        <v>3</v>
      </c>
      <c r="G39" s="93">
        <f t="shared" si="0"/>
        <v>4</v>
      </c>
      <c r="H39" s="93">
        <f t="shared" si="0"/>
        <v>4</v>
      </c>
      <c r="I39" s="93">
        <f t="shared" si="0"/>
        <v>4</v>
      </c>
      <c r="J39" s="93">
        <f t="shared" si="0"/>
        <v>4</v>
      </c>
      <c r="K39" s="93">
        <f t="shared" si="0"/>
        <v>4</v>
      </c>
      <c r="L39" s="93">
        <f t="shared" si="0"/>
        <v>3</v>
      </c>
      <c r="M39" s="93">
        <f t="shared" si="0"/>
        <v>5</v>
      </c>
      <c r="N39" s="93">
        <f t="shared" si="0"/>
        <v>5</v>
      </c>
      <c r="O39" s="93">
        <f t="shared" si="0"/>
        <v>4</v>
      </c>
      <c r="P39" s="93">
        <f t="shared" si="0"/>
        <v>3</v>
      </c>
      <c r="Q39" s="93">
        <f t="shared" si="0"/>
        <v>5</v>
      </c>
      <c r="R39" s="93">
        <f t="shared" si="0"/>
        <v>4</v>
      </c>
      <c r="S39" s="93">
        <f t="shared" si="0"/>
        <v>5</v>
      </c>
      <c r="T39" s="93">
        <f t="shared" si="0"/>
        <v>4</v>
      </c>
      <c r="U39" s="93">
        <f t="shared" si="0"/>
        <v>3</v>
      </c>
      <c r="V39" s="93">
        <f t="shared" si="0"/>
        <v>4</v>
      </c>
      <c r="W39" s="88"/>
    </row>
    <row r="40" spans="1:23" x14ac:dyDescent="0.2">
      <c r="A40" s="83"/>
      <c r="B40" s="78"/>
      <c r="D40" s="94" t="s">
        <v>24</v>
      </c>
      <c r="E40" s="95">
        <f>E24</f>
        <v>9</v>
      </c>
      <c r="F40" s="95">
        <f t="shared" si="0"/>
        <v>13</v>
      </c>
      <c r="G40" s="95">
        <f t="shared" si="0"/>
        <v>5</v>
      </c>
      <c r="H40" s="95">
        <f t="shared" si="0"/>
        <v>1</v>
      </c>
      <c r="I40" s="95">
        <f t="shared" si="0"/>
        <v>11</v>
      </c>
      <c r="J40" s="95">
        <f t="shared" si="0"/>
        <v>15</v>
      </c>
      <c r="K40" s="95">
        <f t="shared" si="0"/>
        <v>7</v>
      </c>
      <c r="L40" s="95">
        <f t="shared" si="0"/>
        <v>17</v>
      </c>
      <c r="M40" s="95">
        <f t="shared" si="0"/>
        <v>3</v>
      </c>
      <c r="N40" s="95">
        <f t="shared" si="0"/>
        <v>4</v>
      </c>
      <c r="O40" s="95">
        <f t="shared" si="0"/>
        <v>14</v>
      </c>
      <c r="P40" s="95">
        <f t="shared" si="0"/>
        <v>16</v>
      </c>
      <c r="Q40" s="95">
        <f t="shared" si="0"/>
        <v>10</v>
      </c>
      <c r="R40" s="95">
        <f t="shared" si="0"/>
        <v>6</v>
      </c>
      <c r="S40" s="95">
        <f t="shared" si="0"/>
        <v>8</v>
      </c>
      <c r="T40" s="95">
        <f t="shared" si="0"/>
        <v>12</v>
      </c>
      <c r="U40" s="95">
        <f t="shared" si="0"/>
        <v>18</v>
      </c>
      <c r="V40" s="95">
        <f t="shared" si="0"/>
        <v>2</v>
      </c>
      <c r="W40" s="88"/>
    </row>
    <row r="41" spans="1:23" x14ac:dyDescent="0.2">
      <c r="B41" s="78"/>
      <c r="D41" s="8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89"/>
    </row>
    <row r="42" spans="1:23" x14ac:dyDescent="0.2">
      <c r="A42" s="83" t="str">
        <f>A26</f>
        <v>BELLIS</v>
      </c>
      <c r="B42" s="78">
        <f>B26</f>
        <v>1</v>
      </c>
      <c r="D42" s="83"/>
      <c r="E42" s="1">
        <f>'RND 3 MSTB'!C55</f>
        <v>-1</v>
      </c>
      <c r="F42" s="1">
        <f>'RND 3 MSTB'!D55</f>
        <v>0</v>
      </c>
      <c r="G42" s="1">
        <f>'RND 3 MSTB'!E55</f>
        <v>-2</v>
      </c>
      <c r="H42" s="1">
        <f>'RND 3 MSTB'!F55</f>
        <v>0</v>
      </c>
      <c r="I42" s="1">
        <f>'RND 3 MSTB'!G55</f>
        <v>-1</v>
      </c>
      <c r="J42" s="1">
        <f>'RND 3 MSTB'!H55</f>
        <v>0</v>
      </c>
      <c r="K42" s="1">
        <f>'RND 3 MSTB'!I55</f>
        <v>-2</v>
      </c>
      <c r="L42" s="1">
        <f>'RND 3 MSTB'!J55</f>
        <v>-1</v>
      </c>
      <c r="M42" s="1">
        <f>'RND 3 MSTB'!K55</f>
        <v>-1</v>
      </c>
      <c r="N42" s="1">
        <f>'RND 3 MSTB'!L55</f>
        <v>-1</v>
      </c>
      <c r="O42" s="1">
        <f>'RND 3 MSTB'!M55</f>
        <v>-1</v>
      </c>
      <c r="P42" s="1">
        <f>'RND 3 MSTB'!N55</f>
        <v>0</v>
      </c>
      <c r="Q42" s="1">
        <f>'RND 3 MSTB'!O55</f>
        <v>-1</v>
      </c>
      <c r="R42" s="1">
        <f>'RND 3 MSTB'!P55</f>
        <v>-2</v>
      </c>
      <c r="S42" s="1">
        <f>'RND 3 MSTB'!Q55</f>
        <v>-1</v>
      </c>
      <c r="T42" s="1">
        <f>'RND 3 MSTB'!R55</f>
        <v>-1</v>
      </c>
      <c r="U42" s="1">
        <f>'RND 3 MSTB'!S55</f>
        <v>-2</v>
      </c>
      <c r="V42" s="1">
        <f>'RND 3 MSTB'!T55</f>
        <v>0</v>
      </c>
      <c r="W42" s="89">
        <f>'RND 3 MSTB'!U55</f>
        <v>-17</v>
      </c>
    </row>
    <row r="43" spans="1:23" x14ac:dyDescent="0.2">
      <c r="A43" s="83" t="str">
        <f t="shared" ref="A43:B49" si="1">A27</f>
        <v>DEY</v>
      </c>
      <c r="B43" s="78">
        <f t="shared" si="1"/>
        <v>2</v>
      </c>
      <c r="D43" s="83"/>
      <c r="E43" s="1">
        <f>'RND 3 MSTB'!C56</f>
        <v>-1</v>
      </c>
      <c r="F43" s="1">
        <f>'RND 3 MSTB'!D56</f>
        <v>0</v>
      </c>
      <c r="G43" s="1">
        <f>'RND 3 MSTB'!E56</f>
        <v>-2</v>
      </c>
      <c r="H43" s="1">
        <f>'RND 3 MSTB'!F56</f>
        <v>0</v>
      </c>
      <c r="I43" s="1">
        <f>'RND 3 MSTB'!G56</f>
        <v>-1</v>
      </c>
      <c r="J43" s="1">
        <f>'RND 3 MSTB'!H56</f>
        <v>0</v>
      </c>
      <c r="K43" s="1">
        <f>'RND 3 MSTB'!I56</f>
        <v>-2</v>
      </c>
      <c r="L43" s="1">
        <f>'RND 3 MSTB'!J56</f>
        <v>-1</v>
      </c>
      <c r="M43" s="1">
        <f>'RND 3 MSTB'!K56</f>
        <v>-1</v>
      </c>
      <c r="N43" s="1">
        <f>'RND 3 MSTB'!L56</f>
        <v>-1</v>
      </c>
      <c r="O43" s="1">
        <f>'RND 3 MSTB'!M56</f>
        <v>-1</v>
      </c>
      <c r="P43" s="1">
        <f>'RND 3 MSTB'!N56</f>
        <v>0</v>
      </c>
      <c r="Q43" s="1">
        <f>'RND 3 MSTB'!O56</f>
        <v>0</v>
      </c>
      <c r="R43" s="1">
        <f>'RND 3 MSTB'!P56</f>
        <v>-2</v>
      </c>
      <c r="S43" s="1">
        <f>'RND 3 MSTB'!Q56</f>
        <v>-1</v>
      </c>
      <c r="T43" s="1">
        <f>'RND 3 MSTB'!R56</f>
        <v>-1</v>
      </c>
      <c r="U43" s="1">
        <f>'RND 3 MSTB'!S56</f>
        <v>-2</v>
      </c>
      <c r="V43" s="1">
        <f>'RND 3 MSTB'!T56</f>
        <v>0</v>
      </c>
      <c r="W43" s="89">
        <f>'RND 3 MSTB'!U56</f>
        <v>-16</v>
      </c>
    </row>
    <row r="44" spans="1:23" x14ac:dyDescent="0.2">
      <c r="A44" s="83" t="str">
        <f t="shared" si="1"/>
        <v>DONOVAN</v>
      </c>
      <c r="B44" s="78">
        <f t="shared" si="1"/>
        <v>3</v>
      </c>
      <c r="D44" s="83"/>
      <c r="E44" s="1">
        <f>'RND 3 MSTB'!C57</f>
        <v>-1</v>
      </c>
      <c r="F44" s="1">
        <f>'RND 3 MSTB'!D57</f>
        <v>0</v>
      </c>
      <c r="G44" s="1">
        <f>'RND 3 MSTB'!E57</f>
        <v>-2</v>
      </c>
      <c r="H44" s="1">
        <f>'RND 3 MSTB'!F57</f>
        <v>0</v>
      </c>
      <c r="I44" s="1">
        <f>'RND 3 MSTB'!G57</f>
        <v>0</v>
      </c>
      <c r="J44" s="1">
        <f>'RND 3 MSTB'!H57</f>
        <v>0</v>
      </c>
      <c r="K44" s="1">
        <f>'RND 3 MSTB'!I57</f>
        <v>-2</v>
      </c>
      <c r="L44" s="1">
        <f>'RND 3 MSTB'!J57</f>
        <v>-1</v>
      </c>
      <c r="M44" s="1">
        <f>'RND 3 MSTB'!K57</f>
        <v>-1</v>
      </c>
      <c r="N44" s="1">
        <f>'RND 3 MSTB'!L57</f>
        <v>-1</v>
      </c>
      <c r="O44" s="1">
        <f>'RND 3 MSTB'!M57</f>
        <v>-1</v>
      </c>
      <c r="P44" s="1">
        <f>'RND 3 MSTB'!N57</f>
        <v>0</v>
      </c>
      <c r="Q44" s="1">
        <f>'RND 3 MSTB'!O57</f>
        <v>0</v>
      </c>
      <c r="R44" s="1">
        <f>'RND 3 MSTB'!P57</f>
        <v>-2</v>
      </c>
      <c r="S44" s="1">
        <f>'RND 3 MSTB'!Q57</f>
        <v>-1</v>
      </c>
      <c r="T44" s="1">
        <f>'RND 3 MSTB'!R57</f>
        <v>-1</v>
      </c>
      <c r="U44" s="1">
        <f>'RND 3 MSTB'!S57</f>
        <v>-2</v>
      </c>
      <c r="V44" s="1">
        <f>'RND 3 MSTB'!T57</f>
        <v>0</v>
      </c>
      <c r="W44" s="89">
        <f>'RND 3 MSTB'!U57</f>
        <v>-15</v>
      </c>
    </row>
    <row r="45" spans="1:23" x14ac:dyDescent="0.2">
      <c r="A45" s="83" t="str">
        <f t="shared" si="1"/>
        <v>FINDLAY</v>
      </c>
      <c r="B45" s="78">
        <f t="shared" si="1"/>
        <v>4</v>
      </c>
      <c r="D45" s="83"/>
      <c r="E45" s="1">
        <f>'RND 3 MSTB'!C58</f>
        <v>-1</v>
      </c>
      <c r="F45" s="1">
        <f>'RND 3 MSTB'!D58</f>
        <v>0</v>
      </c>
      <c r="G45" s="1">
        <f>'RND 3 MSTB'!E58</f>
        <v>-2</v>
      </c>
      <c r="H45" s="1">
        <f>'RND 3 MSTB'!F58</f>
        <v>0</v>
      </c>
      <c r="I45" s="1">
        <f>'RND 3 MSTB'!G58</f>
        <v>0</v>
      </c>
      <c r="J45" s="1">
        <f>'RND 3 MSTB'!H58</f>
        <v>0</v>
      </c>
      <c r="K45" s="1">
        <f>'RND 3 MSTB'!I58</f>
        <v>-2</v>
      </c>
      <c r="L45" s="1">
        <f>'RND 3 MSTB'!J58</f>
        <v>-1</v>
      </c>
      <c r="M45" s="1">
        <f>'RND 3 MSTB'!K58</f>
        <v>-1</v>
      </c>
      <c r="N45" s="1">
        <f>'RND 3 MSTB'!L58</f>
        <v>-1</v>
      </c>
      <c r="O45" s="1">
        <f>'RND 3 MSTB'!M58</f>
        <v>-1</v>
      </c>
      <c r="P45" s="1">
        <f>'RND 3 MSTB'!N58</f>
        <v>0</v>
      </c>
      <c r="Q45" s="1">
        <f>'RND 3 MSTB'!O58</f>
        <v>0</v>
      </c>
      <c r="R45" s="1">
        <f>'RND 3 MSTB'!P58</f>
        <v>-2</v>
      </c>
      <c r="S45" s="1">
        <f>'RND 3 MSTB'!Q58</f>
        <v>-1</v>
      </c>
      <c r="T45" s="1">
        <f>'RND 3 MSTB'!R58</f>
        <v>-1</v>
      </c>
      <c r="U45" s="1">
        <f>'RND 3 MSTB'!S58</f>
        <v>-2</v>
      </c>
      <c r="V45" s="1">
        <f>'RND 3 MSTB'!T58</f>
        <v>3</v>
      </c>
      <c r="W45" s="89">
        <f>'RND 3 MSTB'!U58</f>
        <v>-12</v>
      </c>
    </row>
    <row r="46" spans="1:23" x14ac:dyDescent="0.2">
      <c r="A46" s="83" t="str">
        <f t="shared" si="1"/>
        <v>HOLLANDS</v>
      </c>
      <c r="B46" s="78">
        <f t="shared" si="1"/>
        <v>5</v>
      </c>
      <c r="D46" s="83"/>
      <c r="E46" s="1">
        <f>'RND 3 MSTB'!C59</f>
        <v>-1</v>
      </c>
      <c r="F46" s="1">
        <f>'RND 3 MSTB'!D59</f>
        <v>3</v>
      </c>
      <c r="G46" s="1">
        <f>'RND 3 MSTB'!E59</f>
        <v>-2</v>
      </c>
      <c r="H46" s="1">
        <f>'RND 3 MSTB'!F59</f>
        <v>0</v>
      </c>
      <c r="I46" s="1">
        <f>'RND 3 MSTB'!G59</f>
        <v>0</v>
      </c>
      <c r="J46" s="1">
        <f>'RND 3 MSTB'!H59</f>
        <v>0</v>
      </c>
      <c r="K46" s="1">
        <f>'RND 3 MSTB'!I59</f>
        <v>-2</v>
      </c>
      <c r="L46" s="1">
        <f>'RND 3 MSTB'!J59</f>
        <v>-1</v>
      </c>
      <c r="M46" s="1">
        <f>'RND 3 MSTB'!K59</f>
        <v>-1</v>
      </c>
      <c r="N46" s="1">
        <f>'RND 3 MSTB'!L59</f>
        <v>-1</v>
      </c>
      <c r="O46" s="1">
        <f>'RND 3 MSTB'!M59</f>
        <v>-1</v>
      </c>
      <c r="P46" s="1">
        <f>'RND 3 MSTB'!N59</f>
        <v>0</v>
      </c>
      <c r="Q46" s="1">
        <f>'RND 3 MSTB'!O59</f>
        <v>0</v>
      </c>
      <c r="R46" s="1">
        <f>'RND 3 MSTB'!P59</f>
        <v>-2</v>
      </c>
      <c r="S46" s="1">
        <f>'RND 3 MSTB'!Q59</f>
        <v>-1</v>
      </c>
      <c r="T46" s="1">
        <f>'RND 3 MSTB'!R59</f>
        <v>-1</v>
      </c>
      <c r="U46" s="1">
        <f>'RND 3 MSTB'!S59</f>
        <v>-2</v>
      </c>
      <c r="V46" s="1">
        <f>'RND 3 MSTB'!T59</f>
        <v>3</v>
      </c>
      <c r="W46" s="89">
        <f>'RND 3 MSTB'!U59</f>
        <v>-9</v>
      </c>
    </row>
    <row r="47" spans="1:23" x14ac:dyDescent="0.2">
      <c r="A47" s="83" t="str">
        <f t="shared" si="1"/>
        <v>LAING</v>
      </c>
      <c r="B47" s="78">
        <f t="shared" si="1"/>
        <v>6</v>
      </c>
      <c r="D47" s="83"/>
      <c r="E47" s="1">
        <f>'RND 3 MSTB'!C60</f>
        <v>-1</v>
      </c>
      <c r="F47" s="1">
        <f>'RND 3 MSTB'!D60</f>
        <v>3</v>
      </c>
      <c r="G47" s="1">
        <f>'RND 3 MSTB'!E60</f>
        <v>-2</v>
      </c>
      <c r="H47" s="1">
        <f>'RND 3 MSTB'!F60</f>
        <v>0</v>
      </c>
      <c r="I47" s="1">
        <f>'RND 3 MSTB'!G60</f>
        <v>0</v>
      </c>
      <c r="J47" s="1">
        <f>'RND 3 MSTB'!H60</f>
        <v>0</v>
      </c>
      <c r="K47" s="1">
        <f>'RND 3 MSTB'!I60</f>
        <v>-2</v>
      </c>
      <c r="L47" s="1">
        <f>'RND 3 MSTB'!J60</f>
        <v>-1</v>
      </c>
      <c r="M47" s="1">
        <f>'RND 3 MSTB'!K60</f>
        <v>-1</v>
      </c>
      <c r="N47" s="1">
        <f>'RND 3 MSTB'!L60</f>
        <v>-1</v>
      </c>
      <c r="O47" s="1">
        <f>'RND 3 MSTB'!M60</f>
        <v>-1</v>
      </c>
      <c r="P47" s="1">
        <f>'RND 3 MSTB'!N60</f>
        <v>0</v>
      </c>
      <c r="Q47" s="1">
        <f>'RND 3 MSTB'!O60</f>
        <v>0</v>
      </c>
      <c r="R47" s="1">
        <f>'RND 3 MSTB'!P60</f>
        <v>-1</v>
      </c>
      <c r="S47" s="1">
        <f>'RND 3 MSTB'!Q60</f>
        <v>-1</v>
      </c>
      <c r="T47" s="1">
        <f>'RND 3 MSTB'!R60</f>
        <v>-1</v>
      </c>
      <c r="U47" s="1">
        <f>'RND 3 MSTB'!S60</f>
        <v>-2</v>
      </c>
      <c r="V47" s="1">
        <f>'RND 3 MSTB'!T60</f>
        <v>3</v>
      </c>
      <c r="W47" s="89">
        <f>'RND 3 MSTB'!U60</f>
        <v>-8</v>
      </c>
    </row>
    <row r="48" spans="1:23" x14ac:dyDescent="0.2">
      <c r="A48" s="83" t="str">
        <f t="shared" si="1"/>
        <v>REILLY</v>
      </c>
      <c r="B48" s="78">
        <f t="shared" si="1"/>
        <v>7</v>
      </c>
      <c r="D48" s="83"/>
      <c r="E48" s="1">
        <f>'RND 3 MSTB'!C61</f>
        <v>-1</v>
      </c>
      <c r="F48" s="1">
        <f>'RND 3 MSTB'!D61</f>
        <v>3</v>
      </c>
      <c r="G48" s="1">
        <f>'RND 3 MSTB'!E61</f>
        <v>-2</v>
      </c>
      <c r="H48" s="1">
        <f>'RND 3 MSTB'!F61</f>
        <v>0</v>
      </c>
      <c r="I48" s="1">
        <f>'RND 3 MSTB'!G61</f>
        <v>0</v>
      </c>
      <c r="J48" s="1">
        <f>'RND 3 MSTB'!H61</f>
        <v>0</v>
      </c>
      <c r="K48" s="1">
        <f>'RND 3 MSTB'!I61</f>
        <v>-2</v>
      </c>
      <c r="L48" s="1">
        <f>'RND 3 MSTB'!J61</f>
        <v>-1</v>
      </c>
      <c r="M48" s="1">
        <f>'RND 3 MSTB'!K61</f>
        <v>0</v>
      </c>
      <c r="N48" s="1">
        <f>'RND 3 MSTB'!L61</f>
        <v>-1</v>
      </c>
      <c r="O48" s="1">
        <f>'RND 3 MSTB'!M61</f>
        <v>-1</v>
      </c>
      <c r="P48" s="1">
        <f>'RND 3 MSTB'!N61</f>
        <v>0</v>
      </c>
      <c r="Q48" s="1">
        <f>'RND 3 MSTB'!O61</f>
        <v>0</v>
      </c>
      <c r="R48" s="1">
        <f>'RND 3 MSTB'!P61</f>
        <v>-1</v>
      </c>
      <c r="S48" s="1">
        <f>'RND 3 MSTB'!Q61</f>
        <v>-1</v>
      </c>
      <c r="T48" s="1">
        <f>'RND 3 MSTB'!R61</f>
        <v>-1</v>
      </c>
      <c r="U48" s="1">
        <f>'RND 3 MSTB'!S61</f>
        <v>-2</v>
      </c>
      <c r="V48" s="1">
        <f>'RND 3 MSTB'!T61</f>
        <v>3</v>
      </c>
      <c r="W48" s="89">
        <f>'RND 3 MSTB'!U61</f>
        <v>-7</v>
      </c>
    </row>
    <row r="49" spans="1:23" x14ac:dyDescent="0.2">
      <c r="A49" s="85" t="str">
        <f t="shared" si="1"/>
        <v>STONES</v>
      </c>
      <c r="B49" s="79">
        <f t="shared" si="1"/>
        <v>8</v>
      </c>
      <c r="D49" s="85"/>
      <c r="E49" s="90">
        <f>'RND 3 MSTB'!C62</f>
        <v>-1</v>
      </c>
      <c r="F49" s="90">
        <f>'RND 3 MSTB'!D62</f>
        <v>3</v>
      </c>
      <c r="G49" s="90">
        <f>'RND 3 MSTB'!E62</f>
        <v>-2</v>
      </c>
      <c r="H49" s="90">
        <f>'RND 3 MSTB'!F62</f>
        <v>0</v>
      </c>
      <c r="I49" s="90">
        <f>'RND 3 MSTB'!G62</f>
        <v>0</v>
      </c>
      <c r="J49" s="90">
        <f>'RND 3 MSTB'!H62</f>
        <v>0</v>
      </c>
      <c r="K49" s="90">
        <f>'RND 3 MSTB'!I62</f>
        <v>-2</v>
      </c>
      <c r="L49" s="90">
        <f>'RND 3 MSTB'!J62</f>
        <v>-1</v>
      </c>
      <c r="M49" s="90">
        <f>'RND 3 MSTB'!K62</f>
        <v>0</v>
      </c>
      <c r="N49" s="90">
        <f>'RND 3 MSTB'!L62</f>
        <v>0</v>
      </c>
      <c r="O49" s="90">
        <f>'RND 3 MSTB'!M62</f>
        <v>-1</v>
      </c>
      <c r="P49" s="90">
        <f>'RND 3 MSTB'!N62</f>
        <v>0</v>
      </c>
      <c r="Q49" s="90">
        <f>'RND 3 MSTB'!O62</f>
        <v>0</v>
      </c>
      <c r="R49" s="90">
        <f>'RND 3 MSTB'!P62</f>
        <v>-1</v>
      </c>
      <c r="S49" s="90">
        <f>'RND 3 MSTB'!Q62</f>
        <v>-1</v>
      </c>
      <c r="T49" s="90">
        <f>'RND 3 MSTB'!R62</f>
        <v>-1</v>
      </c>
      <c r="U49" s="90">
        <f>'RND 3 MSTB'!S62</f>
        <v>-2</v>
      </c>
      <c r="V49" s="90">
        <f>'RND 3 MSTB'!T62</f>
        <v>3</v>
      </c>
      <c r="W49" s="91">
        <f>'RND 3 MSTB'!U62</f>
        <v>-6</v>
      </c>
    </row>
    <row r="72" spans="1:7" x14ac:dyDescent="0.2">
      <c r="A72" t="s">
        <v>95</v>
      </c>
    </row>
    <row r="73" spans="1:7" x14ac:dyDescent="0.2">
      <c r="A73" s="157"/>
      <c r="B73" s="227"/>
      <c r="C73" s="158"/>
      <c r="D73" s="158" t="s">
        <v>67</v>
      </c>
      <c r="E73" s="158" t="s">
        <v>66</v>
      </c>
      <c r="F73" s="4" t="s">
        <v>96</v>
      </c>
      <c r="G73" s="232" t="s">
        <v>104</v>
      </c>
    </row>
    <row r="74" spans="1:7" x14ac:dyDescent="0.2">
      <c r="A74" s="159" t="str">
        <f>'OVERALL CALC'!Q50</f>
        <v>1ST</v>
      </c>
      <c r="B74" s="159" t="str">
        <f>'OVERALL CALC'!R50</f>
        <v>⬆</v>
      </c>
      <c r="C74" s="159" t="str">
        <f>'OVERALL CALC'!S50</f>
        <v>STONES</v>
      </c>
      <c r="D74" s="159">
        <f>'OVERALL CALC'!T50</f>
        <v>24</v>
      </c>
      <c r="E74" s="159">
        <f>'OVERALL CALC'!U50</f>
        <v>7.5</v>
      </c>
      <c r="F74" s="159">
        <f>'OVERALL CALC'!V50</f>
        <v>24</v>
      </c>
      <c r="G74" s="233">
        <f>'OVERALL CALC'!W50</f>
        <v>55.5</v>
      </c>
    </row>
    <row r="75" spans="1:7" x14ac:dyDescent="0.2">
      <c r="A75" s="159" t="str">
        <f>'OVERALL CALC'!Q51</f>
        <v>2ND</v>
      </c>
      <c r="B75" s="159" t="str">
        <f>'OVERALL CALC'!R51</f>
        <v>⬆</v>
      </c>
      <c r="C75" s="159" t="str">
        <f>'OVERALL CALC'!S51</f>
        <v>REILLY</v>
      </c>
      <c r="D75" s="159">
        <f>'OVERALL CALC'!T51</f>
        <v>18</v>
      </c>
      <c r="E75" s="159">
        <f>'OVERALL CALC'!U51</f>
        <v>12</v>
      </c>
      <c r="F75" s="159">
        <f>'OVERALL CALC'!V51</f>
        <v>21</v>
      </c>
      <c r="G75" s="233">
        <f>'OVERALL CALC'!W51</f>
        <v>51</v>
      </c>
    </row>
    <row r="76" spans="1:7" x14ac:dyDescent="0.2">
      <c r="A76" s="159" t="str">
        <f>'OVERALL CALC'!Q52</f>
        <v>=3RD</v>
      </c>
      <c r="B76" s="159" t="str">
        <f>'OVERALL CALC'!R52</f>
        <v>⬇</v>
      </c>
      <c r="C76" s="159" t="str">
        <f>'OVERALL CALC'!S52</f>
        <v>HOLLANDS</v>
      </c>
      <c r="D76" s="159">
        <f>'OVERALL CALC'!T52</f>
        <v>12</v>
      </c>
      <c r="E76" s="159">
        <f>'OVERALL CALC'!U52</f>
        <v>22.5</v>
      </c>
      <c r="F76" s="159">
        <f>'OVERALL CALC'!V52</f>
        <v>15</v>
      </c>
      <c r="G76" s="233">
        <f>'OVERALL CALC'!W52</f>
        <v>49.5</v>
      </c>
    </row>
    <row r="77" spans="1:7" x14ac:dyDescent="0.2">
      <c r="A77" s="159" t="str">
        <f>'OVERALL CALC'!Q53</f>
        <v>=3RD</v>
      </c>
      <c r="B77" s="159" t="str">
        <f>'OVERALL CALC'!R53</f>
        <v>⬇</v>
      </c>
      <c r="C77" s="159" t="str">
        <f>'OVERALL CALC'!S53</f>
        <v>FINDLAY</v>
      </c>
      <c r="D77" s="159">
        <f>'OVERALL CALC'!T53</f>
        <v>15</v>
      </c>
      <c r="E77" s="159">
        <f>'OVERALL CALC'!U53</f>
        <v>22.5</v>
      </c>
      <c r="F77" s="159">
        <f>'OVERALL CALC'!V53</f>
        <v>12</v>
      </c>
      <c r="G77" s="233">
        <f>'OVERALL CALC'!W53</f>
        <v>49.5</v>
      </c>
    </row>
    <row r="78" spans="1:7" x14ac:dyDescent="0.2">
      <c r="A78" s="159" t="str">
        <f>'OVERALL CALC'!Q54</f>
        <v>5TH</v>
      </c>
      <c r="B78" s="159" t="str">
        <f>'OVERALL CALC'!R54</f>
        <v>⬆</v>
      </c>
      <c r="C78" s="159" t="str">
        <f>'OVERALL CALC'!S54</f>
        <v>LAING</v>
      </c>
      <c r="D78" s="159">
        <f>'OVERALL CALC'!T54</f>
        <v>3</v>
      </c>
      <c r="E78" s="159">
        <f>'OVERALL CALC'!U54</f>
        <v>15</v>
      </c>
      <c r="F78" s="159">
        <f>'OVERALL CALC'!V54</f>
        <v>18</v>
      </c>
      <c r="G78" s="233">
        <f>'OVERALL CALC'!W54</f>
        <v>36</v>
      </c>
    </row>
    <row r="79" spans="1:7" x14ac:dyDescent="0.2">
      <c r="A79" s="159" t="str">
        <f>'OVERALL CALC'!Q55</f>
        <v>6TH</v>
      </c>
      <c r="B79" s="159" t="str">
        <f>'OVERALL CALC'!R55</f>
        <v>⬇</v>
      </c>
      <c r="C79" s="159" t="str">
        <f>'OVERALL CALC'!S55</f>
        <v>DONOVAN</v>
      </c>
      <c r="D79" s="159">
        <f>'OVERALL CALC'!T55</f>
        <v>7.5</v>
      </c>
      <c r="E79" s="159">
        <f>'OVERALL CALC'!U55</f>
        <v>18</v>
      </c>
      <c r="F79" s="159">
        <f>'OVERALL CALC'!V55</f>
        <v>9</v>
      </c>
      <c r="G79" s="233">
        <f>'OVERALL CALC'!W55</f>
        <v>34.5</v>
      </c>
    </row>
    <row r="80" spans="1:7" x14ac:dyDescent="0.2">
      <c r="A80" s="159" t="str">
        <f>'OVERALL CALC'!Q56</f>
        <v>7TH</v>
      </c>
      <c r="B80" s="159" t="str">
        <f>'OVERALL CALC'!R56</f>
        <v>⬇</v>
      </c>
      <c r="C80" s="159" t="str">
        <f>'OVERALL CALC'!S56</f>
        <v>BELLIS</v>
      </c>
      <c r="D80" s="159">
        <f>'OVERALL CALC'!T56</f>
        <v>21</v>
      </c>
      <c r="E80" s="159">
        <f>'OVERALL CALC'!U56</f>
        <v>3</v>
      </c>
      <c r="F80" s="159">
        <f>'OVERALL CALC'!V56</f>
        <v>3</v>
      </c>
      <c r="G80" s="233">
        <f>'OVERALL CALC'!W56</f>
        <v>27</v>
      </c>
    </row>
    <row r="81" spans="1:7" x14ac:dyDescent="0.2">
      <c r="A81" s="160" t="str">
        <f>'OVERALL CALC'!Q57</f>
        <v>8TH</v>
      </c>
      <c r="B81" s="160" t="str">
        <f>'OVERALL CALC'!R57</f>
        <v>–</v>
      </c>
      <c r="C81" s="160" t="str">
        <f>'OVERALL CALC'!S57</f>
        <v>DEY</v>
      </c>
      <c r="D81" s="160">
        <f>'OVERALL CALC'!T57</f>
        <v>7.5</v>
      </c>
      <c r="E81" s="160">
        <f>'OVERALL CALC'!U57</f>
        <v>7.5</v>
      </c>
      <c r="F81" s="160">
        <f>'OVERALL CALC'!V57</f>
        <v>6</v>
      </c>
      <c r="G81" s="234">
        <f>'OVERALL CALC'!W57</f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B878-8A4E-9745-8363-EBFFEB11D2E5}">
  <dimension ref="A1:AS62"/>
  <sheetViews>
    <sheetView tabSelected="1" topLeftCell="A39" zoomScale="57" zoomScaleNormal="100" workbookViewId="0">
      <selection activeCell="J23" sqref="J23"/>
    </sheetView>
  </sheetViews>
  <sheetFormatPr baseColWidth="10" defaultRowHeight="15" x14ac:dyDescent="0.2"/>
  <cols>
    <col min="1" max="1" width="13.1640625" bestFit="1" customWidth="1"/>
    <col min="22" max="22" width="12.33203125" customWidth="1"/>
  </cols>
  <sheetData>
    <row r="1" spans="1:33" ht="29" x14ac:dyDescent="0.35">
      <c r="A1" s="311" t="s">
        <v>20</v>
      </c>
      <c r="B1" s="311"/>
      <c r="C1" s="311"/>
      <c r="E1" s="312" t="s">
        <v>78</v>
      </c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4"/>
      <c r="Y1" s="305" t="s">
        <v>27</v>
      </c>
      <c r="Z1" s="306"/>
      <c r="AA1" s="306"/>
      <c r="AB1" s="306"/>
      <c r="AC1" s="306"/>
      <c r="AD1" s="306"/>
      <c r="AE1" s="306"/>
      <c r="AF1" s="306"/>
      <c r="AG1" s="307"/>
    </row>
    <row r="2" spans="1:33" ht="26" x14ac:dyDescent="0.3">
      <c r="E2" s="315" t="s">
        <v>79</v>
      </c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7"/>
      <c r="Y2" s="308"/>
      <c r="Z2" s="309"/>
      <c r="AA2" s="309"/>
      <c r="AB2" s="309"/>
      <c r="AC2" s="309"/>
      <c r="AD2" s="309"/>
      <c r="AE2" s="309"/>
      <c r="AF2" s="309"/>
      <c r="AG2" s="310"/>
    </row>
    <row r="3" spans="1:33" x14ac:dyDescent="0.2">
      <c r="Y3" s="83"/>
      <c r="AG3" s="84"/>
    </row>
    <row r="4" spans="1:33" x14ac:dyDescent="0.2">
      <c r="A4" s="32" t="s">
        <v>1</v>
      </c>
      <c r="B4" s="33" t="s">
        <v>15</v>
      </c>
      <c r="C4" s="39">
        <v>1</v>
      </c>
      <c r="D4" s="40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40">
        <v>8</v>
      </c>
      <c r="K4" s="40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40">
        <v>15</v>
      </c>
      <c r="R4" s="40">
        <v>16</v>
      </c>
      <c r="S4" s="40">
        <v>17</v>
      </c>
      <c r="T4" s="40">
        <v>18</v>
      </c>
      <c r="U4" s="41" t="s">
        <v>2</v>
      </c>
      <c r="V4" s="45" t="s">
        <v>16</v>
      </c>
      <c r="Y4" s="130" t="str">
        <f t="shared" ref="Y4:Y11" si="0">A7</f>
        <v>BELLIS</v>
      </c>
      <c r="Z4" s="131">
        <f>U55</f>
        <v>-17</v>
      </c>
      <c r="AA4" s="131">
        <f>RANK(Z4,$Z$4:$Z$11,0)</f>
        <v>8</v>
      </c>
      <c r="AB4" s="131"/>
      <c r="AC4" s="131"/>
      <c r="AD4" s="131">
        <f t="shared" ref="AD4:AD11" si="1">IF(AA4=1,24,0)+(IF(AA4=2,21,0))+(IF(AA4=3,18,0))+(IF(AA4=4,15,0))+(IF(AA4=5,12,0))+(IF(AA4=6,9,0))+(IF(AA4=7,6,0))+(IF(AA4=8,3,0))</f>
        <v>3</v>
      </c>
      <c r="AE4" s="131">
        <f t="shared" ref="AE4:AE11" si="2">COUNTIF($AD$4:$AD$11,AD4)</f>
        <v>1</v>
      </c>
      <c r="AF4" s="131">
        <f t="shared" ref="AF4:AF11" si="3">SUMIF($AD$4:$AD$11,AD4)</f>
        <v>3</v>
      </c>
      <c r="AG4" s="132">
        <f>IF(AE4=3,AF4/3-3,0)+IF(AE4=2,AF4/2-1.5,0)+IF(AE4=1,AF4,0)+IF(AE4=4,AF4/4-4.5,0)+IF(AE4=5,AF4/5-6,0)+IF(AE4=6,AF4/6-7.5,0)+IF(AE4=7,AF4/7-9,0)+IF(AE4=8,AF4/8-10.5,0)</f>
        <v>3</v>
      </c>
    </row>
    <row r="5" spans="1:33" x14ac:dyDescent="0.2">
      <c r="A5" s="34"/>
      <c r="B5" s="35"/>
      <c r="C5" s="42">
        <v>4</v>
      </c>
      <c r="D5" s="42">
        <v>5</v>
      </c>
      <c r="E5" s="42">
        <v>3</v>
      </c>
      <c r="F5" s="42">
        <v>5</v>
      </c>
      <c r="G5" s="42">
        <v>4</v>
      </c>
      <c r="H5" s="42">
        <v>4</v>
      </c>
      <c r="I5" s="42">
        <v>3</v>
      </c>
      <c r="J5" s="42">
        <v>4</v>
      </c>
      <c r="K5" s="42">
        <v>4</v>
      </c>
      <c r="L5" s="42">
        <v>4</v>
      </c>
      <c r="M5" s="42">
        <v>4</v>
      </c>
      <c r="N5" s="42">
        <v>5</v>
      </c>
      <c r="O5" s="42">
        <v>4</v>
      </c>
      <c r="P5" s="42">
        <v>3</v>
      </c>
      <c r="Q5" s="42">
        <v>4</v>
      </c>
      <c r="R5" s="42">
        <v>4</v>
      </c>
      <c r="S5" s="42">
        <v>3</v>
      </c>
      <c r="T5" s="42">
        <v>5</v>
      </c>
      <c r="U5" s="35"/>
      <c r="Y5" s="133" t="str">
        <f t="shared" si="0"/>
        <v>DEY</v>
      </c>
      <c r="Z5" s="134">
        <f t="shared" ref="Z5:Z11" si="4">U56</f>
        <v>-16</v>
      </c>
      <c r="AA5" s="134">
        <f t="shared" ref="AA5:AA11" si="5">RANK(Z5,$Z$4:$Z$11,0)</f>
        <v>7</v>
      </c>
      <c r="AB5" s="134"/>
      <c r="AC5" s="134"/>
      <c r="AD5" s="134">
        <f t="shared" si="1"/>
        <v>6</v>
      </c>
      <c r="AE5" s="134">
        <f t="shared" si="2"/>
        <v>1</v>
      </c>
      <c r="AF5" s="134">
        <f t="shared" si="3"/>
        <v>6</v>
      </c>
      <c r="AG5" s="135">
        <f t="shared" ref="AG5:AG11" si="6">IF(AE5=3,AF5/3-3,0)+IF(AE5=2,AF5/2-1.5,0)+IF(AE5=1,AF5,0)+IF(AE5=4,AF5/4-4.5,0)+IF(AE5=5,AF5/5-6,0)+IF(AE5=6,AF5/6-7.5,0)+IF(AE5=7,AF5/7-9,0)+IF(AE5=8,AF5/8-10.5,0)</f>
        <v>6</v>
      </c>
    </row>
    <row r="6" spans="1:33" x14ac:dyDescent="0.2">
      <c r="A6" s="34"/>
      <c r="B6" s="35"/>
      <c r="C6" s="43">
        <v>9</v>
      </c>
      <c r="D6" s="43">
        <v>5</v>
      </c>
      <c r="E6" s="43">
        <v>15</v>
      </c>
      <c r="F6" s="43">
        <v>11</v>
      </c>
      <c r="G6" s="43">
        <v>3</v>
      </c>
      <c r="H6" s="43">
        <v>1</v>
      </c>
      <c r="I6" s="43">
        <v>17</v>
      </c>
      <c r="J6" s="43">
        <v>13</v>
      </c>
      <c r="K6" s="43">
        <v>7</v>
      </c>
      <c r="L6" s="43">
        <v>8</v>
      </c>
      <c r="M6" s="43">
        <v>14</v>
      </c>
      <c r="N6" s="43">
        <v>10</v>
      </c>
      <c r="O6" s="43">
        <v>2</v>
      </c>
      <c r="P6" s="43">
        <v>6</v>
      </c>
      <c r="Q6" s="43">
        <v>12</v>
      </c>
      <c r="R6" s="43">
        <v>16</v>
      </c>
      <c r="S6" s="43">
        <v>18</v>
      </c>
      <c r="T6" s="43">
        <v>4</v>
      </c>
      <c r="U6" s="44"/>
      <c r="Y6" s="133" t="str">
        <f t="shared" si="0"/>
        <v>DONOVAN</v>
      </c>
      <c r="Z6" s="134">
        <f t="shared" si="4"/>
        <v>-15</v>
      </c>
      <c r="AA6" s="134">
        <f t="shared" si="5"/>
        <v>6</v>
      </c>
      <c r="AB6" s="134"/>
      <c r="AC6" s="134"/>
      <c r="AD6" s="134">
        <f t="shared" si="1"/>
        <v>9</v>
      </c>
      <c r="AE6" s="134">
        <f t="shared" si="2"/>
        <v>1</v>
      </c>
      <c r="AF6" s="134">
        <f t="shared" si="3"/>
        <v>9</v>
      </c>
      <c r="AG6" s="135">
        <f t="shared" si="6"/>
        <v>9</v>
      </c>
    </row>
    <row r="7" spans="1:33" x14ac:dyDescent="0.2">
      <c r="A7" s="34" t="s">
        <v>3</v>
      </c>
      <c r="B7" s="114">
        <v>1</v>
      </c>
      <c r="C7" s="112">
        <v>5</v>
      </c>
      <c r="D7" s="112">
        <v>5</v>
      </c>
      <c r="E7" s="112">
        <v>5</v>
      </c>
      <c r="F7" s="112">
        <v>5</v>
      </c>
      <c r="G7" s="112">
        <v>5</v>
      </c>
      <c r="H7" s="112">
        <v>5</v>
      </c>
      <c r="I7" s="112">
        <v>5</v>
      </c>
      <c r="J7" s="112">
        <v>5</v>
      </c>
      <c r="K7" s="112">
        <v>5</v>
      </c>
      <c r="L7" s="112">
        <v>5</v>
      </c>
      <c r="M7" s="112">
        <v>5</v>
      </c>
      <c r="N7" s="112">
        <v>5</v>
      </c>
      <c r="O7" s="112">
        <v>5</v>
      </c>
      <c r="P7" s="112">
        <v>5</v>
      </c>
      <c r="Q7" s="112">
        <v>5</v>
      </c>
      <c r="R7" s="112">
        <v>5</v>
      </c>
      <c r="S7" s="112">
        <v>5</v>
      </c>
      <c r="T7" s="112">
        <v>5</v>
      </c>
      <c r="U7" s="8">
        <f>SUM(C7:T7)</f>
        <v>90</v>
      </c>
      <c r="Y7" s="133" t="str">
        <f t="shared" si="0"/>
        <v>FINDLAY</v>
      </c>
      <c r="Z7" s="134">
        <f t="shared" si="4"/>
        <v>-12</v>
      </c>
      <c r="AA7" s="134">
        <f t="shared" si="5"/>
        <v>5</v>
      </c>
      <c r="AB7" s="134"/>
      <c r="AC7" s="134"/>
      <c r="AD7" s="134">
        <f t="shared" si="1"/>
        <v>12</v>
      </c>
      <c r="AE7" s="134">
        <f t="shared" si="2"/>
        <v>1</v>
      </c>
      <c r="AF7" s="134">
        <f t="shared" si="3"/>
        <v>12</v>
      </c>
      <c r="AG7" s="135">
        <f t="shared" si="6"/>
        <v>12</v>
      </c>
    </row>
    <row r="8" spans="1:33" x14ac:dyDescent="0.2">
      <c r="A8" s="34" t="s">
        <v>4</v>
      </c>
      <c r="B8" s="114">
        <v>2</v>
      </c>
      <c r="C8" s="112">
        <v>5</v>
      </c>
      <c r="D8" s="112">
        <v>5</v>
      </c>
      <c r="E8" s="112">
        <v>5</v>
      </c>
      <c r="F8" s="112">
        <v>5</v>
      </c>
      <c r="G8" s="112">
        <v>5</v>
      </c>
      <c r="H8" s="112">
        <v>5</v>
      </c>
      <c r="I8" s="112">
        <v>5</v>
      </c>
      <c r="J8" s="112">
        <v>5</v>
      </c>
      <c r="K8" s="112">
        <v>5</v>
      </c>
      <c r="L8" s="112">
        <v>5</v>
      </c>
      <c r="M8" s="112">
        <v>5</v>
      </c>
      <c r="N8" s="112">
        <v>5</v>
      </c>
      <c r="O8" s="112">
        <v>5</v>
      </c>
      <c r="P8" s="112">
        <v>5</v>
      </c>
      <c r="Q8" s="112">
        <v>5</v>
      </c>
      <c r="R8" s="112">
        <v>5</v>
      </c>
      <c r="S8" s="112">
        <v>5</v>
      </c>
      <c r="T8" s="112">
        <v>5</v>
      </c>
      <c r="U8" s="8">
        <f t="shared" ref="U8:U14" si="7">SUM(C8:T8)</f>
        <v>90</v>
      </c>
      <c r="Y8" s="133" t="str">
        <f t="shared" si="0"/>
        <v>HOLLANDS</v>
      </c>
      <c r="Z8" s="134">
        <f t="shared" si="4"/>
        <v>-9</v>
      </c>
      <c r="AA8" s="134">
        <f t="shared" si="5"/>
        <v>4</v>
      </c>
      <c r="AB8" s="134"/>
      <c r="AC8" s="134"/>
      <c r="AD8" s="134">
        <f t="shared" si="1"/>
        <v>15</v>
      </c>
      <c r="AE8" s="134">
        <f t="shared" si="2"/>
        <v>1</v>
      </c>
      <c r="AF8" s="134">
        <f t="shared" si="3"/>
        <v>15</v>
      </c>
      <c r="AG8" s="135">
        <f t="shared" si="6"/>
        <v>15</v>
      </c>
    </row>
    <row r="9" spans="1:33" x14ac:dyDescent="0.2">
      <c r="A9" s="34" t="s">
        <v>5</v>
      </c>
      <c r="B9" s="114">
        <v>3</v>
      </c>
      <c r="C9" s="112">
        <v>5</v>
      </c>
      <c r="D9" s="112">
        <v>5</v>
      </c>
      <c r="E9" s="112">
        <v>5</v>
      </c>
      <c r="F9" s="112">
        <v>5</v>
      </c>
      <c r="G9" s="112">
        <v>5</v>
      </c>
      <c r="H9" s="112">
        <v>5</v>
      </c>
      <c r="I9" s="112">
        <v>5</v>
      </c>
      <c r="J9" s="112">
        <v>5</v>
      </c>
      <c r="K9" s="112">
        <v>5</v>
      </c>
      <c r="L9" s="112">
        <v>5</v>
      </c>
      <c r="M9" s="112">
        <v>5</v>
      </c>
      <c r="N9" s="112">
        <v>5</v>
      </c>
      <c r="O9" s="112">
        <v>5</v>
      </c>
      <c r="P9" s="112">
        <v>5</v>
      </c>
      <c r="Q9" s="112">
        <v>5</v>
      </c>
      <c r="R9" s="112">
        <v>5</v>
      </c>
      <c r="S9" s="112">
        <v>5</v>
      </c>
      <c r="T9" s="112">
        <v>5</v>
      </c>
      <c r="U9" s="8">
        <f t="shared" si="7"/>
        <v>90</v>
      </c>
      <c r="Y9" s="133" t="str">
        <f t="shared" si="0"/>
        <v>LAING</v>
      </c>
      <c r="Z9" s="134">
        <f t="shared" si="4"/>
        <v>-8</v>
      </c>
      <c r="AA9" s="134">
        <f t="shared" si="5"/>
        <v>3</v>
      </c>
      <c r="AB9" s="134"/>
      <c r="AC9" s="134"/>
      <c r="AD9" s="134">
        <f t="shared" si="1"/>
        <v>18</v>
      </c>
      <c r="AE9" s="134">
        <f t="shared" si="2"/>
        <v>1</v>
      </c>
      <c r="AF9" s="134">
        <f t="shared" si="3"/>
        <v>18</v>
      </c>
      <c r="AG9" s="135">
        <f t="shared" si="6"/>
        <v>18</v>
      </c>
    </row>
    <row r="10" spans="1:33" x14ac:dyDescent="0.2">
      <c r="A10" s="34" t="s">
        <v>6</v>
      </c>
      <c r="B10" s="114">
        <v>4</v>
      </c>
      <c r="C10" s="112">
        <v>5</v>
      </c>
      <c r="D10" s="112">
        <v>5</v>
      </c>
      <c r="E10" s="112">
        <v>5</v>
      </c>
      <c r="F10" s="112">
        <v>5</v>
      </c>
      <c r="G10" s="112">
        <v>5</v>
      </c>
      <c r="H10" s="112">
        <v>5</v>
      </c>
      <c r="I10" s="112">
        <v>5</v>
      </c>
      <c r="J10" s="112">
        <v>5</v>
      </c>
      <c r="K10" s="112">
        <v>5</v>
      </c>
      <c r="L10" s="112">
        <v>5</v>
      </c>
      <c r="M10" s="112">
        <v>5</v>
      </c>
      <c r="N10" s="112">
        <v>5</v>
      </c>
      <c r="O10" s="112">
        <v>5</v>
      </c>
      <c r="P10" s="112">
        <v>5</v>
      </c>
      <c r="Q10" s="112">
        <v>5</v>
      </c>
      <c r="R10" s="112">
        <v>5</v>
      </c>
      <c r="S10" s="112">
        <v>5</v>
      </c>
      <c r="T10" s="112">
        <v>5</v>
      </c>
      <c r="U10" s="8">
        <f t="shared" si="7"/>
        <v>90</v>
      </c>
      <c r="Y10" s="133" t="str">
        <f t="shared" si="0"/>
        <v>REILLY</v>
      </c>
      <c r="Z10" s="134">
        <f t="shared" si="4"/>
        <v>-7</v>
      </c>
      <c r="AA10" s="134">
        <f t="shared" si="5"/>
        <v>2</v>
      </c>
      <c r="AB10" s="134"/>
      <c r="AC10" s="134"/>
      <c r="AD10" s="134">
        <f t="shared" si="1"/>
        <v>21</v>
      </c>
      <c r="AE10" s="134">
        <f t="shared" si="2"/>
        <v>1</v>
      </c>
      <c r="AF10" s="134">
        <f t="shared" si="3"/>
        <v>21</v>
      </c>
      <c r="AG10" s="135">
        <f t="shared" si="6"/>
        <v>21</v>
      </c>
    </row>
    <row r="11" spans="1:33" x14ac:dyDescent="0.2">
      <c r="A11" s="34" t="s">
        <v>7</v>
      </c>
      <c r="B11" s="114">
        <v>5</v>
      </c>
      <c r="C11" s="112">
        <v>5</v>
      </c>
      <c r="D11" s="112">
        <v>5</v>
      </c>
      <c r="E11" s="112">
        <v>5</v>
      </c>
      <c r="F11" s="112">
        <v>5</v>
      </c>
      <c r="G11" s="112">
        <v>5</v>
      </c>
      <c r="H11" s="112">
        <v>5</v>
      </c>
      <c r="I11" s="112">
        <v>5</v>
      </c>
      <c r="J11" s="112">
        <v>5</v>
      </c>
      <c r="K11" s="112">
        <v>5</v>
      </c>
      <c r="L11" s="112">
        <v>5</v>
      </c>
      <c r="M11" s="112">
        <v>5</v>
      </c>
      <c r="N11" s="112">
        <v>5</v>
      </c>
      <c r="O11" s="112">
        <v>5</v>
      </c>
      <c r="P11" s="112">
        <v>5</v>
      </c>
      <c r="Q11" s="112">
        <v>5</v>
      </c>
      <c r="R11" s="112">
        <v>5</v>
      </c>
      <c r="S11" s="112">
        <v>5</v>
      </c>
      <c r="T11" s="112">
        <v>5</v>
      </c>
      <c r="U11" s="8">
        <f t="shared" si="7"/>
        <v>90</v>
      </c>
      <c r="Y11" s="136" t="str">
        <f t="shared" si="0"/>
        <v>STONES</v>
      </c>
      <c r="Z11" s="137">
        <f t="shared" si="4"/>
        <v>-6</v>
      </c>
      <c r="AA11" s="137">
        <f t="shared" si="5"/>
        <v>1</v>
      </c>
      <c r="AB11" s="137"/>
      <c r="AC11" s="137"/>
      <c r="AD11" s="137">
        <f t="shared" si="1"/>
        <v>24</v>
      </c>
      <c r="AE11" s="137">
        <f t="shared" si="2"/>
        <v>1</v>
      </c>
      <c r="AF11" s="137">
        <f t="shared" si="3"/>
        <v>24</v>
      </c>
      <c r="AG11" s="138">
        <f t="shared" si="6"/>
        <v>24</v>
      </c>
    </row>
    <row r="12" spans="1:33" x14ac:dyDescent="0.2">
      <c r="A12" s="34" t="s">
        <v>8</v>
      </c>
      <c r="B12" s="114">
        <v>6</v>
      </c>
      <c r="C12" s="112">
        <v>5</v>
      </c>
      <c r="D12" s="112">
        <v>5</v>
      </c>
      <c r="E12" s="112">
        <v>5</v>
      </c>
      <c r="F12" s="112">
        <v>5</v>
      </c>
      <c r="G12" s="112">
        <v>5</v>
      </c>
      <c r="H12" s="112">
        <v>5</v>
      </c>
      <c r="I12" s="112">
        <v>5</v>
      </c>
      <c r="J12" s="112">
        <v>5</v>
      </c>
      <c r="K12" s="112">
        <v>5</v>
      </c>
      <c r="L12" s="112">
        <v>5</v>
      </c>
      <c r="M12" s="112">
        <v>5</v>
      </c>
      <c r="N12" s="112">
        <v>5</v>
      </c>
      <c r="O12" s="112">
        <v>5</v>
      </c>
      <c r="P12" s="112">
        <v>5</v>
      </c>
      <c r="Q12" s="112">
        <v>5</v>
      </c>
      <c r="R12" s="112">
        <v>5</v>
      </c>
      <c r="S12" s="112">
        <v>5</v>
      </c>
      <c r="T12" s="112">
        <v>5</v>
      </c>
      <c r="U12" s="8">
        <f t="shared" si="7"/>
        <v>90</v>
      </c>
      <c r="Y12" s="83"/>
      <c r="AG12" s="84"/>
    </row>
    <row r="13" spans="1:33" x14ac:dyDescent="0.2">
      <c r="A13" s="34" t="s">
        <v>9</v>
      </c>
      <c r="B13" s="114">
        <v>7</v>
      </c>
      <c r="C13" s="112">
        <v>5</v>
      </c>
      <c r="D13" s="112">
        <v>5</v>
      </c>
      <c r="E13" s="112">
        <v>5</v>
      </c>
      <c r="F13" s="112">
        <v>5</v>
      </c>
      <c r="G13" s="112">
        <v>5</v>
      </c>
      <c r="H13" s="112">
        <v>5</v>
      </c>
      <c r="I13" s="112">
        <v>5</v>
      </c>
      <c r="J13" s="112">
        <v>5</v>
      </c>
      <c r="K13" s="112">
        <v>5</v>
      </c>
      <c r="L13" s="112">
        <v>5</v>
      </c>
      <c r="M13" s="112">
        <v>5</v>
      </c>
      <c r="N13" s="112">
        <v>5</v>
      </c>
      <c r="O13" s="112">
        <v>5</v>
      </c>
      <c r="P13" s="112">
        <v>5</v>
      </c>
      <c r="Q13" s="112">
        <v>5</v>
      </c>
      <c r="R13" s="112">
        <v>5</v>
      </c>
      <c r="S13" s="112">
        <v>5</v>
      </c>
      <c r="T13" s="112">
        <v>5</v>
      </c>
      <c r="U13" s="8">
        <f t="shared" si="7"/>
        <v>90</v>
      </c>
      <c r="Y13" s="83"/>
      <c r="AG13" s="84"/>
    </row>
    <row r="14" spans="1:33" x14ac:dyDescent="0.2">
      <c r="A14" s="37" t="s">
        <v>10</v>
      </c>
      <c r="B14" s="115">
        <v>8</v>
      </c>
      <c r="C14" s="113">
        <v>5</v>
      </c>
      <c r="D14" s="113">
        <v>5</v>
      </c>
      <c r="E14" s="113">
        <v>5</v>
      </c>
      <c r="F14" s="113">
        <v>5</v>
      </c>
      <c r="G14" s="113">
        <v>5</v>
      </c>
      <c r="H14" s="113">
        <v>5</v>
      </c>
      <c r="I14" s="113">
        <v>5</v>
      </c>
      <c r="J14" s="113">
        <v>5</v>
      </c>
      <c r="K14" s="113">
        <v>5</v>
      </c>
      <c r="L14" s="113">
        <v>5</v>
      </c>
      <c r="M14" s="113">
        <v>5</v>
      </c>
      <c r="N14" s="113">
        <v>5</v>
      </c>
      <c r="O14" s="113">
        <v>5</v>
      </c>
      <c r="P14" s="113">
        <v>5</v>
      </c>
      <c r="Q14" s="113">
        <v>5</v>
      </c>
      <c r="R14" s="113">
        <v>5</v>
      </c>
      <c r="S14" s="113">
        <v>5</v>
      </c>
      <c r="T14" s="113">
        <v>5</v>
      </c>
      <c r="U14" s="7">
        <f t="shared" si="7"/>
        <v>90</v>
      </c>
      <c r="Y14" s="130" t="str">
        <f t="shared" ref="Y14:Z21" si="8">Y4</f>
        <v>BELLIS</v>
      </c>
      <c r="Z14" s="131">
        <f t="shared" si="8"/>
        <v>-17</v>
      </c>
      <c r="AA14" s="131">
        <f t="shared" ref="AA14:AA21" si="9">AG4</f>
        <v>3</v>
      </c>
      <c r="AB14" s="131">
        <f>RANK(Z14,$Z$14:$Z$21,0)+COUNTIF($Z$14:Z14,Z14)-1</f>
        <v>8</v>
      </c>
      <c r="AC14" s="132"/>
      <c r="AD14" s="103">
        <v>1</v>
      </c>
      <c r="AE14" s="104" t="str">
        <f t="shared" ref="AE14:AE21" si="10">INDEX($Y$14:$AB$21,MATCH(AD14,$AB$14:$AB$21,0),1)</f>
        <v>STONES</v>
      </c>
      <c r="AF14" s="104">
        <f t="shared" ref="AF14:AF21" si="11">INDEX($Y$14:$AB$21,MATCH(AD14,$AB$14:$AB$21,0),2)</f>
        <v>-6</v>
      </c>
      <c r="AG14" s="105">
        <f>INDEX($Y$14:$AB$21,MATCH(AD14,$AB$14:$AB$21,0),3)</f>
        <v>24</v>
      </c>
    </row>
    <row r="15" spans="1:33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Y15" s="133" t="str">
        <f t="shared" si="8"/>
        <v>DEY</v>
      </c>
      <c r="Z15" s="134">
        <f t="shared" si="8"/>
        <v>-16</v>
      </c>
      <c r="AA15" s="134">
        <f t="shared" si="9"/>
        <v>6</v>
      </c>
      <c r="AB15" s="134">
        <f>RANK(Z15,$Z$14:$Z$21,0)+COUNTIF($Z$14:Z15,Z15)-1</f>
        <v>7</v>
      </c>
      <c r="AC15" s="135"/>
      <c r="AD15" s="106">
        <v>2</v>
      </c>
      <c r="AE15" s="12" t="str">
        <f t="shared" si="10"/>
        <v>REILLY</v>
      </c>
      <c r="AF15" s="12">
        <f t="shared" si="11"/>
        <v>-7</v>
      </c>
      <c r="AG15" s="107">
        <f t="shared" ref="AG15:AG21" si="12">INDEX($Y$14:$AB$21,MATCH(AD15,$AB$14:$AB$21,0),3)</f>
        <v>21</v>
      </c>
    </row>
    <row r="16" spans="1:33" x14ac:dyDescent="0.2">
      <c r="A16" s="32"/>
      <c r="B16" s="46"/>
      <c r="C16" s="40">
        <v>1</v>
      </c>
      <c r="D16" s="40">
        <v>2</v>
      </c>
      <c r="E16" s="40">
        <v>3</v>
      </c>
      <c r="F16" s="40">
        <v>4</v>
      </c>
      <c r="G16" s="40">
        <v>5</v>
      </c>
      <c r="H16" s="40">
        <v>6</v>
      </c>
      <c r="I16" s="40">
        <v>7</v>
      </c>
      <c r="J16" s="40">
        <v>8</v>
      </c>
      <c r="K16" s="40">
        <v>9</v>
      </c>
      <c r="L16" s="40">
        <v>10</v>
      </c>
      <c r="M16" s="40">
        <v>11</v>
      </c>
      <c r="N16" s="40">
        <v>12</v>
      </c>
      <c r="O16" s="40">
        <v>13</v>
      </c>
      <c r="P16" s="40">
        <v>14</v>
      </c>
      <c r="Q16" s="40">
        <v>15</v>
      </c>
      <c r="R16" s="40">
        <v>16</v>
      </c>
      <c r="S16" s="40">
        <v>17</v>
      </c>
      <c r="T16" s="40">
        <v>18</v>
      </c>
      <c r="U16" s="41" t="s">
        <v>2</v>
      </c>
      <c r="V16" s="45" t="s">
        <v>17</v>
      </c>
      <c r="Y16" s="133" t="str">
        <f t="shared" si="8"/>
        <v>DONOVAN</v>
      </c>
      <c r="Z16" s="134">
        <f t="shared" si="8"/>
        <v>-15</v>
      </c>
      <c r="AA16" s="134">
        <f t="shared" si="9"/>
        <v>9</v>
      </c>
      <c r="AB16" s="134">
        <f>RANK(Z16,$Z$14:$Z$21,0)+COUNTIF($Z$14:Z16,Z16)-1</f>
        <v>6</v>
      </c>
      <c r="AC16" s="135"/>
      <c r="AD16" s="106">
        <v>3</v>
      </c>
      <c r="AE16" s="12" t="str">
        <f t="shared" si="10"/>
        <v>LAING</v>
      </c>
      <c r="AF16" s="12">
        <f t="shared" si="11"/>
        <v>-8</v>
      </c>
      <c r="AG16" s="107">
        <f t="shared" si="12"/>
        <v>18</v>
      </c>
    </row>
    <row r="17" spans="1:33" x14ac:dyDescent="0.2">
      <c r="A17" s="34"/>
      <c r="B17" s="35"/>
      <c r="C17" s="42">
        <f>C5</f>
        <v>4</v>
      </c>
      <c r="D17" s="42">
        <f t="shared" ref="D17:T17" si="13">D5</f>
        <v>5</v>
      </c>
      <c r="E17" s="42">
        <f t="shared" si="13"/>
        <v>3</v>
      </c>
      <c r="F17" s="42">
        <f t="shared" si="13"/>
        <v>5</v>
      </c>
      <c r="G17" s="42">
        <f t="shared" si="13"/>
        <v>4</v>
      </c>
      <c r="H17" s="42">
        <f t="shared" si="13"/>
        <v>4</v>
      </c>
      <c r="I17" s="42">
        <f t="shared" si="13"/>
        <v>3</v>
      </c>
      <c r="J17" s="42">
        <f t="shared" si="13"/>
        <v>4</v>
      </c>
      <c r="K17" s="42">
        <f t="shared" si="13"/>
        <v>4</v>
      </c>
      <c r="L17" s="42">
        <f t="shared" si="13"/>
        <v>4</v>
      </c>
      <c r="M17" s="42">
        <f t="shared" si="13"/>
        <v>4</v>
      </c>
      <c r="N17" s="42">
        <f t="shared" si="13"/>
        <v>5</v>
      </c>
      <c r="O17" s="42">
        <f t="shared" si="13"/>
        <v>4</v>
      </c>
      <c r="P17" s="42">
        <f t="shared" si="13"/>
        <v>3</v>
      </c>
      <c r="Q17" s="42">
        <f t="shared" si="13"/>
        <v>4</v>
      </c>
      <c r="R17" s="42">
        <f t="shared" si="13"/>
        <v>4</v>
      </c>
      <c r="S17" s="42">
        <f t="shared" si="13"/>
        <v>3</v>
      </c>
      <c r="T17" s="42">
        <f t="shared" si="13"/>
        <v>5</v>
      </c>
      <c r="U17" s="35"/>
      <c r="Y17" s="133" t="str">
        <f t="shared" si="8"/>
        <v>FINDLAY</v>
      </c>
      <c r="Z17" s="134">
        <f t="shared" si="8"/>
        <v>-12</v>
      </c>
      <c r="AA17" s="134">
        <f t="shared" si="9"/>
        <v>12</v>
      </c>
      <c r="AB17" s="134">
        <f>RANK(Z17,$Z$14:$Z$21,0)+COUNTIF($Z$14:Z17,Z17)-1</f>
        <v>5</v>
      </c>
      <c r="AC17" s="135"/>
      <c r="AD17" s="106">
        <v>4</v>
      </c>
      <c r="AE17" s="12" t="str">
        <f t="shared" si="10"/>
        <v>HOLLANDS</v>
      </c>
      <c r="AF17" s="12">
        <f t="shared" si="11"/>
        <v>-9</v>
      </c>
      <c r="AG17" s="107">
        <f t="shared" si="12"/>
        <v>15</v>
      </c>
    </row>
    <row r="18" spans="1:33" x14ac:dyDescent="0.2">
      <c r="A18" s="34"/>
      <c r="B18" s="35"/>
      <c r="C18" s="43">
        <f>C6</f>
        <v>9</v>
      </c>
      <c r="D18" s="43">
        <f t="shared" ref="D18:T18" si="14">D6</f>
        <v>5</v>
      </c>
      <c r="E18" s="43">
        <f t="shared" si="14"/>
        <v>15</v>
      </c>
      <c r="F18" s="43">
        <f t="shared" si="14"/>
        <v>11</v>
      </c>
      <c r="G18" s="43">
        <f t="shared" si="14"/>
        <v>3</v>
      </c>
      <c r="H18" s="43">
        <f t="shared" si="14"/>
        <v>1</v>
      </c>
      <c r="I18" s="43">
        <f t="shared" si="14"/>
        <v>17</v>
      </c>
      <c r="J18" s="43">
        <f t="shared" si="14"/>
        <v>13</v>
      </c>
      <c r="K18" s="43">
        <f t="shared" si="14"/>
        <v>7</v>
      </c>
      <c r="L18" s="43">
        <f t="shared" si="14"/>
        <v>8</v>
      </c>
      <c r="M18" s="43">
        <f t="shared" si="14"/>
        <v>14</v>
      </c>
      <c r="N18" s="43">
        <f t="shared" si="14"/>
        <v>10</v>
      </c>
      <c r="O18" s="43">
        <f t="shared" si="14"/>
        <v>2</v>
      </c>
      <c r="P18" s="43">
        <f t="shared" si="14"/>
        <v>6</v>
      </c>
      <c r="Q18" s="43">
        <f t="shared" si="14"/>
        <v>12</v>
      </c>
      <c r="R18" s="43">
        <f t="shared" si="14"/>
        <v>16</v>
      </c>
      <c r="S18" s="43">
        <f t="shared" si="14"/>
        <v>18</v>
      </c>
      <c r="T18" s="43">
        <f t="shared" si="14"/>
        <v>4</v>
      </c>
      <c r="U18" s="44"/>
      <c r="Y18" s="133" t="str">
        <f t="shared" si="8"/>
        <v>HOLLANDS</v>
      </c>
      <c r="Z18" s="134">
        <f t="shared" si="8"/>
        <v>-9</v>
      </c>
      <c r="AA18" s="134">
        <f t="shared" si="9"/>
        <v>15</v>
      </c>
      <c r="AB18" s="134">
        <f>RANK(Z18,$Z$14:$Z$21,0)+COUNTIF($Z$14:Z18,Z18)-1</f>
        <v>4</v>
      </c>
      <c r="AC18" s="135"/>
      <c r="AD18" s="106">
        <v>5</v>
      </c>
      <c r="AE18" s="12" t="str">
        <f t="shared" si="10"/>
        <v>FINDLAY</v>
      </c>
      <c r="AF18" s="12">
        <f t="shared" si="11"/>
        <v>-12</v>
      </c>
      <c r="AG18" s="107">
        <f t="shared" si="12"/>
        <v>12</v>
      </c>
    </row>
    <row r="19" spans="1:33" x14ac:dyDescent="0.2">
      <c r="A19" s="34" t="s">
        <v>3</v>
      </c>
      <c r="B19" s="36">
        <f>B7</f>
        <v>1</v>
      </c>
      <c r="C19" s="1" t="str">
        <f t="shared" ref="C19:T19" si="15">IF($B$19&gt;=C18,"●","")&amp;(IF($B$19-18&gt;=C18,"●",""))</f>
        <v/>
      </c>
      <c r="D19" s="1" t="str">
        <f t="shared" si="15"/>
        <v/>
      </c>
      <c r="E19" s="1" t="str">
        <f t="shared" si="15"/>
        <v/>
      </c>
      <c r="F19" s="1" t="str">
        <f t="shared" si="15"/>
        <v/>
      </c>
      <c r="G19" s="1" t="str">
        <f t="shared" si="15"/>
        <v/>
      </c>
      <c r="H19" s="1" t="str">
        <f t="shared" si="15"/>
        <v>●</v>
      </c>
      <c r="I19" s="1" t="str">
        <f t="shared" si="15"/>
        <v/>
      </c>
      <c r="J19" s="1" t="str">
        <f t="shared" si="15"/>
        <v/>
      </c>
      <c r="K19" s="1" t="str">
        <f t="shared" si="15"/>
        <v/>
      </c>
      <c r="L19" s="1" t="str">
        <f t="shared" si="15"/>
        <v/>
      </c>
      <c r="M19" s="1" t="str">
        <f t="shared" si="15"/>
        <v/>
      </c>
      <c r="N19" s="1" t="str">
        <f t="shared" si="15"/>
        <v/>
      </c>
      <c r="O19" s="1" t="str">
        <f t="shared" si="15"/>
        <v/>
      </c>
      <c r="P19" s="1" t="str">
        <f t="shared" si="15"/>
        <v/>
      </c>
      <c r="Q19" s="1" t="str">
        <f t="shared" si="15"/>
        <v/>
      </c>
      <c r="R19" s="1" t="str">
        <f t="shared" si="15"/>
        <v/>
      </c>
      <c r="S19" s="1" t="str">
        <f t="shared" si="15"/>
        <v/>
      </c>
      <c r="T19" s="1" t="str">
        <f t="shared" si="15"/>
        <v/>
      </c>
      <c r="U19" s="9"/>
      <c r="Y19" s="133" t="str">
        <f t="shared" si="8"/>
        <v>LAING</v>
      </c>
      <c r="Z19" s="134">
        <f t="shared" si="8"/>
        <v>-8</v>
      </c>
      <c r="AA19" s="134">
        <f t="shared" si="9"/>
        <v>18</v>
      </c>
      <c r="AB19" s="134">
        <f>RANK(Z19,$Z$14:$Z$21,0)+COUNTIF($Z$14:Z19,Z19)-1</f>
        <v>3</v>
      </c>
      <c r="AC19" s="135"/>
      <c r="AD19" s="106">
        <v>6</v>
      </c>
      <c r="AE19" s="12" t="str">
        <f t="shared" si="10"/>
        <v>DONOVAN</v>
      </c>
      <c r="AF19" s="12">
        <f t="shared" si="11"/>
        <v>-15</v>
      </c>
      <c r="AG19" s="107">
        <f t="shared" si="12"/>
        <v>9</v>
      </c>
    </row>
    <row r="20" spans="1:33" x14ac:dyDescent="0.2">
      <c r="A20" s="34" t="s">
        <v>4</v>
      </c>
      <c r="B20" s="36">
        <f t="shared" ref="B20:B26" si="16">B8</f>
        <v>2</v>
      </c>
      <c r="C20" s="1" t="str">
        <f t="shared" ref="C20:T20" si="17">IF($B$20&gt;=C18,"●","")&amp;(IF($B$20-18&gt;=C18,"●",""))</f>
        <v/>
      </c>
      <c r="D20" s="1" t="str">
        <f t="shared" si="17"/>
        <v/>
      </c>
      <c r="E20" s="1" t="str">
        <f t="shared" si="17"/>
        <v/>
      </c>
      <c r="F20" s="1" t="str">
        <f t="shared" si="17"/>
        <v/>
      </c>
      <c r="G20" s="1" t="str">
        <f t="shared" si="17"/>
        <v/>
      </c>
      <c r="H20" s="1" t="str">
        <f t="shared" si="17"/>
        <v>●</v>
      </c>
      <c r="I20" s="1" t="str">
        <f t="shared" si="17"/>
        <v/>
      </c>
      <c r="J20" s="1" t="str">
        <f t="shared" si="17"/>
        <v/>
      </c>
      <c r="K20" s="1" t="str">
        <f t="shared" si="17"/>
        <v/>
      </c>
      <c r="L20" s="1" t="str">
        <f t="shared" si="17"/>
        <v/>
      </c>
      <c r="M20" s="1" t="str">
        <f t="shared" si="17"/>
        <v/>
      </c>
      <c r="N20" s="1" t="str">
        <f t="shared" si="17"/>
        <v/>
      </c>
      <c r="O20" s="1" t="str">
        <f t="shared" si="17"/>
        <v>●</v>
      </c>
      <c r="P20" s="1" t="str">
        <f t="shared" si="17"/>
        <v/>
      </c>
      <c r="Q20" s="1" t="str">
        <f t="shared" si="17"/>
        <v/>
      </c>
      <c r="R20" s="1" t="str">
        <f t="shared" si="17"/>
        <v/>
      </c>
      <c r="S20" s="1" t="str">
        <f t="shared" si="17"/>
        <v/>
      </c>
      <c r="T20" s="1" t="str">
        <f t="shared" si="17"/>
        <v/>
      </c>
      <c r="U20" s="9"/>
      <c r="Y20" s="133" t="str">
        <f t="shared" si="8"/>
        <v>REILLY</v>
      </c>
      <c r="Z20" s="134">
        <f t="shared" si="8"/>
        <v>-7</v>
      </c>
      <c r="AA20" s="134">
        <f t="shared" si="9"/>
        <v>21</v>
      </c>
      <c r="AB20" s="134">
        <f>RANK(Z20,$Z$14:$Z$21,0)+COUNTIF($Z$14:Z20,Z20)-1</f>
        <v>2</v>
      </c>
      <c r="AC20" s="135"/>
      <c r="AD20" s="106">
        <v>7</v>
      </c>
      <c r="AE20" s="12" t="str">
        <f t="shared" si="10"/>
        <v>DEY</v>
      </c>
      <c r="AF20" s="12">
        <f t="shared" si="11"/>
        <v>-16</v>
      </c>
      <c r="AG20" s="107">
        <f t="shared" si="12"/>
        <v>6</v>
      </c>
    </row>
    <row r="21" spans="1:33" x14ac:dyDescent="0.2">
      <c r="A21" s="34" t="s">
        <v>5</v>
      </c>
      <c r="B21" s="36">
        <f t="shared" si="16"/>
        <v>3</v>
      </c>
      <c r="C21" s="1" t="str">
        <f t="shared" ref="C21:T21" si="18">IF($B$21&gt;=C18,"●","")&amp;(IF($B$21-18&gt;=C18,"●",""))</f>
        <v/>
      </c>
      <c r="D21" s="1" t="str">
        <f t="shared" si="18"/>
        <v/>
      </c>
      <c r="E21" s="1" t="str">
        <f t="shared" si="18"/>
        <v/>
      </c>
      <c r="F21" s="1" t="str">
        <f t="shared" si="18"/>
        <v/>
      </c>
      <c r="G21" s="1" t="str">
        <f t="shared" si="18"/>
        <v>●</v>
      </c>
      <c r="H21" s="1" t="str">
        <f t="shared" si="18"/>
        <v>●</v>
      </c>
      <c r="I21" s="1" t="str">
        <f t="shared" si="18"/>
        <v/>
      </c>
      <c r="J21" s="1" t="str">
        <f t="shared" si="18"/>
        <v/>
      </c>
      <c r="K21" s="1" t="str">
        <f t="shared" si="18"/>
        <v/>
      </c>
      <c r="L21" s="1" t="str">
        <f t="shared" si="18"/>
        <v/>
      </c>
      <c r="M21" s="1" t="str">
        <f t="shared" si="18"/>
        <v/>
      </c>
      <c r="N21" s="1" t="str">
        <f t="shared" si="18"/>
        <v/>
      </c>
      <c r="O21" s="1" t="str">
        <f t="shared" si="18"/>
        <v>●</v>
      </c>
      <c r="P21" s="1" t="str">
        <f t="shared" si="18"/>
        <v/>
      </c>
      <c r="Q21" s="1" t="str">
        <f t="shared" si="18"/>
        <v/>
      </c>
      <c r="R21" s="1" t="str">
        <f t="shared" si="18"/>
        <v/>
      </c>
      <c r="S21" s="1" t="str">
        <f t="shared" si="18"/>
        <v/>
      </c>
      <c r="T21" s="1" t="str">
        <f t="shared" si="18"/>
        <v/>
      </c>
      <c r="U21" s="9"/>
      <c r="Y21" s="136" t="str">
        <f t="shared" si="8"/>
        <v>STONES</v>
      </c>
      <c r="Z21" s="137">
        <f t="shared" si="8"/>
        <v>-6</v>
      </c>
      <c r="AA21" s="137">
        <f t="shared" si="9"/>
        <v>24</v>
      </c>
      <c r="AB21" s="137">
        <f>RANK(Z21,$Z$14:$Z$21,0)+COUNTIF($Z$14:Z21,Z21)-1</f>
        <v>1</v>
      </c>
      <c r="AC21" s="138"/>
      <c r="AD21" s="108">
        <v>8</v>
      </c>
      <c r="AE21" s="109" t="str">
        <f t="shared" si="10"/>
        <v>BELLIS</v>
      </c>
      <c r="AF21" s="109">
        <f t="shared" si="11"/>
        <v>-17</v>
      </c>
      <c r="AG21" s="110">
        <f t="shared" si="12"/>
        <v>3</v>
      </c>
    </row>
    <row r="22" spans="1:33" x14ac:dyDescent="0.2">
      <c r="A22" s="34" t="s">
        <v>6</v>
      </c>
      <c r="B22" s="36">
        <f t="shared" si="16"/>
        <v>4</v>
      </c>
      <c r="C22" s="1" t="str">
        <f t="shared" ref="C22:T22" si="19">IF($B$22&gt;=C18,"●","")&amp;(IF($B$22-18&gt;=C18,"●",""))</f>
        <v/>
      </c>
      <c r="D22" s="1" t="str">
        <f t="shared" si="19"/>
        <v/>
      </c>
      <c r="E22" s="1" t="str">
        <f t="shared" si="19"/>
        <v/>
      </c>
      <c r="F22" s="1" t="str">
        <f t="shared" si="19"/>
        <v/>
      </c>
      <c r="G22" s="1" t="str">
        <f t="shared" si="19"/>
        <v>●</v>
      </c>
      <c r="H22" s="1" t="str">
        <f t="shared" si="19"/>
        <v>●</v>
      </c>
      <c r="I22" s="1" t="str">
        <f t="shared" si="19"/>
        <v/>
      </c>
      <c r="J22" s="1" t="str">
        <f t="shared" si="19"/>
        <v/>
      </c>
      <c r="K22" s="1" t="str">
        <f t="shared" si="19"/>
        <v/>
      </c>
      <c r="L22" s="1" t="str">
        <f t="shared" si="19"/>
        <v/>
      </c>
      <c r="M22" s="1" t="str">
        <f t="shared" si="19"/>
        <v/>
      </c>
      <c r="N22" s="1" t="str">
        <f t="shared" si="19"/>
        <v/>
      </c>
      <c r="O22" s="1" t="str">
        <f t="shared" si="19"/>
        <v>●</v>
      </c>
      <c r="P22" s="1" t="str">
        <f t="shared" si="19"/>
        <v/>
      </c>
      <c r="Q22" s="1" t="str">
        <f t="shared" si="19"/>
        <v/>
      </c>
      <c r="R22" s="1" t="str">
        <f t="shared" si="19"/>
        <v/>
      </c>
      <c r="S22" s="1" t="str">
        <f t="shared" si="19"/>
        <v/>
      </c>
      <c r="T22" s="1" t="str">
        <f t="shared" si="19"/>
        <v>●</v>
      </c>
      <c r="U22" s="9"/>
      <c r="Y22" s="85"/>
      <c r="Z22" s="86"/>
      <c r="AA22" s="86"/>
      <c r="AB22" s="86"/>
      <c r="AC22" s="86"/>
      <c r="AD22" s="86"/>
      <c r="AE22" s="86"/>
      <c r="AF22" s="86"/>
      <c r="AG22" s="87"/>
    </row>
    <row r="23" spans="1:33" x14ac:dyDescent="0.2">
      <c r="A23" s="34" t="s">
        <v>7</v>
      </c>
      <c r="B23" s="36">
        <f t="shared" si="16"/>
        <v>5</v>
      </c>
      <c r="C23" s="1" t="str">
        <f t="shared" ref="C23:T23" si="20">IF($B$23&gt;=C18,"●","")&amp;(IF($B$23-18&gt;=C18,"●",""))</f>
        <v/>
      </c>
      <c r="D23" s="1" t="str">
        <f t="shared" si="20"/>
        <v>●</v>
      </c>
      <c r="E23" s="1" t="str">
        <f t="shared" si="20"/>
        <v/>
      </c>
      <c r="F23" s="1" t="str">
        <f t="shared" si="20"/>
        <v/>
      </c>
      <c r="G23" s="1" t="str">
        <f t="shared" si="20"/>
        <v>●</v>
      </c>
      <c r="H23" s="1" t="str">
        <f t="shared" si="20"/>
        <v>●</v>
      </c>
      <c r="I23" s="1" t="str">
        <f t="shared" si="20"/>
        <v/>
      </c>
      <c r="J23" s="1" t="str">
        <f t="shared" si="20"/>
        <v/>
      </c>
      <c r="K23" s="1" t="str">
        <f t="shared" si="20"/>
        <v/>
      </c>
      <c r="L23" s="1" t="str">
        <f t="shared" si="20"/>
        <v/>
      </c>
      <c r="M23" s="1" t="str">
        <f t="shared" si="20"/>
        <v/>
      </c>
      <c r="N23" s="1" t="str">
        <f t="shared" si="20"/>
        <v/>
      </c>
      <c r="O23" s="1" t="str">
        <f t="shared" si="20"/>
        <v>●</v>
      </c>
      <c r="P23" s="1" t="str">
        <f t="shared" si="20"/>
        <v/>
      </c>
      <c r="Q23" s="1" t="str">
        <f t="shared" si="20"/>
        <v/>
      </c>
      <c r="R23" s="1" t="str">
        <f t="shared" si="20"/>
        <v/>
      </c>
      <c r="S23" s="1" t="str">
        <f t="shared" si="20"/>
        <v/>
      </c>
      <c r="T23" s="1" t="str">
        <f t="shared" si="20"/>
        <v>●</v>
      </c>
      <c r="U23" s="9"/>
    </row>
    <row r="24" spans="1:33" x14ac:dyDescent="0.2">
      <c r="A24" s="34" t="s">
        <v>8</v>
      </c>
      <c r="B24" s="36">
        <f t="shared" si="16"/>
        <v>6</v>
      </c>
      <c r="C24" s="1" t="str">
        <f t="shared" ref="C24:T24" si="21">IF($B$24&gt;=C18,"●","")&amp;(IF($B$24-18&gt;=C18,"●",""))</f>
        <v/>
      </c>
      <c r="D24" s="1" t="str">
        <f t="shared" si="21"/>
        <v>●</v>
      </c>
      <c r="E24" s="1" t="str">
        <f t="shared" si="21"/>
        <v/>
      </c>
      <c r="F24" s="1" t="str">
        <f t="shared" si="21"/>
        <v/>
      </c>
      <c r="G24" s="1" t="str">
        <f t="shared" si="21"/>
        <v>●</v>
      </c>
      <c r="H24" s="1" t="str">
        <f t="shared" si="21"/>
        <v>●</v>
      </c>
      <c r="I24" s="1" t="str">
        <f t="shared" si="21"/>
        <v/>
      </c>
      <c r="J24" s="1" t="str">
        <f t="shared" si="21"/>
        <v/>
      </c>
      <c r="K24" s="1" t="str">
        <f t="shared" si="21"/>
        <v/>
      </c>
      <c r="L24" s="1" t="str">
        <f t="shared" si="21"/>
        <v/>
      </c>
      <c r="M24" s="1" t="str">
        <f t="shared" si="21"/>
        <v/>
      </c>
      <c r="N24" s="1" t="str">
        <f t="shared" si="21"/>
        <v/>
      </c>
      <c r="O24" s="1" t="str">
        <f t="shared" si="21"/>
        <v>●</v>
      </c>
      <c r="P24" s="1" t="str">
        <f t="shared" si="21"/>
        <v>●</v>
      </c>
      <c r="Q24" s="1" t="str">
        <f t="shared" si="21"/>
        <v/>
      </c>
      <c r="R24" s="1" t="str">
        <f t="shared" si="21"/>
        <v/>
      </c>
      <c r="S24" s="1" t="str">
        <f t="shared" si="21"/>
        <v/>
      </c>
      <c r="T24" s="1" t="str">
        <f t="shared" si="21"/>
        <v>●</v>
      </c>
      <c r="U24" s="9"/>
    </row>
    <row r="25" spans="1:33" x14ac:dyDescent="0.2">
      <c r="A25" s="34" t="s">
        <v>9</v>
      </c>
      <c r="B25" s="36">
        <f t="shared" si="16"/>
        <v>7</v>
      </c>
      <c r="C25" s="1" t="str">
        <f t="shared" ref="C25:T25" si="22">IF($B$25&gt;=C18,"●","")&amp;(IF($B$25-18&gt;=C18,"●",""))</f>
        <v/>
      </c>
      <c r="D25" s="1" t="str">
        <f t="shared" si="22"/>
        <v>●</v>
      </c>
      <c r="E25" s="1" t="str">
        <f t="shared" si="22"/>
        <v/>
      </c>
      <c r="F25" s="1" t="str">
        <f t="shared" si="22"/>
        <v/>
      </c>
      <c r="G25" s="1" t="str">
        <f t="shared" si="22"/>
        <v>●</v>
      </c>
      <c r="H25" s="1" t="str">
        <f t="shared" si="22"/>
        <v>●</v>
      </c>
      <c r="I25" s="1" t="str">
        <f t="shared" si="22"/>
        <v/>
      </c>
      <c r="J25" s="1" t="str">
        <f t="shared" si="22"/>
        <v/>
      </c>
      <c r="K25" s="1" t="str">
        <f t="shared" si="22"/>
        <v>●</v>
      </c>
      <c r="L25" s="1" t="str">
        <f t="shared" si="22"/>
        <v/>
      </c>
      <c r="M25" s="1" t="str">
        <f t="shared" si="22"/>
        <v/>
      </c>
      <c r="N25" s="1" t="str">
        <f t="shared" si="22"/>
        <v/>
      </c>
      <c r="O25" s="1" t="str">
        <f t="shared" si="22"/>
        <v>●</v>
      </c>
      <c r="P25" s="1" t="str">
        <f t="shared" si="22"/>
        <v>●</v>
      </c>
      <c r="Q25" s="1" t="str">
        <f t="shared" si="22"/>
        <v/>
      </c>
      <c r="R25" s="1" t="str">
        <f t="shared" si="22"/>
        <v/>
      </c>
      <c r="S25" s="1" t="str">
        <f t="shared" si="22"/>
        <v/>
      </c>
      <c r="T25" s="1" t="str">
        <f t="shared" si="22"/>
        <v>●</v>
      </c>
      <c r="U25" s="9"/>
    </row>
    <row r="26" spans="1:33" x14ac:dyDescent="0.2">
      <c r="A26" s="37" t="s">
        <v>10</v>
      </c>
      <c r="B26" s="38">
        <f t="shared" si="16"/>
        <v>8</v>
      </c>
      <c r="C26" s="6" t="str">
        <f t="shared" ref="C26:T26" si="23">IF($B$26&gt;=C18,"●","")&amp;(IF($B$26-18&gt;=C18,"●",""))</f>
        <v/>
      </c>
      <c r="D26" s="6" t="str">
        <f t="shared" si="23"/>
        <v>●</v>
      </c>
      <c r="E26" s="6" t="str">
        <f t="shared" si="23"/>
        <v/>
      </c>
      <c r="F26" s="6" t="str">
        <f t="shared" si="23"/>
        <v/>
      </c>
      <c r="G26" s="6" t="str">
        <f t="shared" si="23"/>
        <v>●</v>
      </c>
      <c r="H26" s="6" t="str">
        <f t="shared" si="23"/>
        <v>●</v>
      </c>
      <c r="I26" s="6" t="str">
        <f t="shared" si="23"/>
        <v/>
      </c>
      <c r="J26" s="6" t="str">
        <f t="shared" si="23"/>
        <v/>
      </c>
      <c r="K26" s="6" t="str">
        <f t="shared" si="23"/>
        <v>●</v>
      </c>
      <c r="L26" s="6" t="str">
        <f t="shared" si="23"/>
        <v>●</v>
      </c>
      <c r="M26" s="6" t="str">
        <f t="shared" si="23"/>
        <v/>
      </c>
      <c r="N26" s="6" t="str">
        <f t="shared" si="23"/>
        <v/>
      </c>
      <c r="O26" s="6" t="str">
        <f t="shared" si="23"/>
        <v>●</v>
      </c>
      <c r="P26" s="6" t="str">
        <f t="shared" si="23"/>
        <v>●</v>
      </c>
      <c r="Q26" s="6" t="str">
        <f t="shared" si="23"/>
        <v/>
      </c>
      <c r="R26" s="6" t="str">
        <f t="shared" si="23"/>
        <v/>
      </c>
      <c r="S26" s="6" t="str">
        <f t="shared" si="23"/>
        <v/>
      </c>
      <c r="T26" s="6" t="str">
        <f t="shared" si="23"/>
        <v>●</v>
      </c>
      <c r="U26" s="10"/>
    </row>
    <row r="28" spans="1:33" x14ac:dyDescent="0.2">
      <c r="A28" s="32"/>
      <c r="B28" s="46"/>
      <c r="C28" s="40">
        <f>C16</f>
        <v>1</v>
      </c>
      <c r="D28" s="40">
        <f t="shared" ref="D28:T28" si="24">D16</f>
        <v>2</v>
      </c>
      <c r="E28" s="40">
        <f t="shared" si="24"/>
        <v>3</v>
      </c>
      <c r="F28" s="40">
        <f t="shared" si="24"/>
        <v>4</v>
      </c>
      <c r="G28" s="40">
        <f t="shared" si="24"/>
        <v>5</v>
      </c>
      <c r="H28" s="40">
        <f t="shared" si="24"/>
        <v>6</v>
      </c>
      <c r="I28" s="40">
        <f t="shared" si="24"/>
        <v>7</v>
      </c>
      <c r="J28" s="40">
        <f t="shared" si="24"/>
        <v>8</v>
      </c>
      <c r="K28" s="40">
        <f t="shared" si="24"/>
        <v>9</v>
      </c>
      <c r="L28" s="40">
        <f t="shared" si="24"/>
        <v>10</v>
      </c>
      <c r="M28" s="40">
        <f t="shared" si="24"/>
        <v>11</v>
      </c>
      <c r="N28" s="40">
        <f t="shared" si="24"/>
        <v>12</v>
      </c>
      <c r="O28" s="40">
        <f t="shared" si="24"/>
        <v>13</v>
      </c>
      <c r="P28" s="40">
        <f t="shared" si="24"/>
        <v>14</v>
      </c>
      <c r="Q28" s="40">
        <f t="shared" si="24"/>
        <v>15</v>
      </c>
      <c r="R28" s="40">
        <f t="shared" si="24"/>
        <v>16</v>
      </c>
      <c r="S28" s="40">
        <f t="shared" si="24"/>
        <v>17</v>
      </c>
      <c r="T28" s="40">
        <f t="shared" si="24"/>
        <v>18</v>
      </c>
      <c r="U28" s="41" t="s">
        <v>2</v>
      </c>
      <c r="V28" s="45" t="s">
        <v>18</v>
      </c>
    </row>
    <row r="29" spans="1:33" x14ac:dyDescent="0.2">
      <c r="A29" s="34"/>
      <c r="B29" s="35"/>
      <c r="C29" s="42">
        <f t="shared" ref="C29:C30" si="25">C17</f>
        <v>4</v>
      </c>
      <c r="D29" s="42">
        <f t="shared" ref="D29:T29" si="26">D17</f>
        <v>5</v>
      </c>
      <c r="E29" s="42">
        <f t="shared" si="26"/>
        <v>3</v>
      </c>
      <c r="F29" s="42">
        <f t="shared" si="26"/>
        <v>5</v>
      </c>
      <c r="G29" s="42">
        <f t="shared" si="26"/>
        <v>4</v>
      </c>
      <c r="H29" s="42">
        <f t="shared" si="26"/>
        <v>4</v>
      </c>
      <c r="I29" s="42">
        <f t="shared" si="26"/>
        <v>3</v>
      </c>
      <c r="J29" s="42">
        <f t="shared" si="26"/>
        <v>4</v>
      </c>
      <c r="K29" s="42">
        <f t="shared" si="26"/>
        <v>4</v>
      </c>
      <c r="L29" s="42">
        <f t="shared" si="26"/>
        <v>4</v>
      </c>
      <c r="M29" s="42">
        <f t="shared" si="26"/>
        <v>4</v>
      </c>
      <c r="N29" s="42">
        <f t="shared" si="26"/>
        <v>5</v>
      </c>
      <c r="O29" s="42">
        <f t="shared" si="26"/>
        <v>4</v>
      </c>
      <c r="P29" s="42">
        <f t="shared" si="26"/>
        <v>3</v>
      </c>
      <c r="Q29" s="42">
        <f t="shared" si="26"/>
        <v>4</v>
      </c>
      <c r="R29" s="42">
        <f t="shared" si="26"/>
        <v>4</v>
      </c>
      <c r="S29" s="42">
        <f t="shared" si="26"/>
        <v>3</v>
      </c>
      <c r="T29" s="42">
        <f t="shared" si="26"/>
        <v>5</v>
      </c>
      <c r="U29" s="35"/>
    </row>
    <row r="30" spans="1:33" x14ac:dyDescent="0.2">
      <c r="A30" s="34"/>
      <c r="B30" s="35"/>
      <c r="C30" s="43">
        <f t="shared" si="25"/>
        <v>9</v>
      </c>
      <c r="D30" s="43">
        <f t="shared" ref="D30:T30" si="27">D18</f>
        <v>5</v>
      </c>
      <c r="E30" s="43">
        <f t="shared" si="27"/>
        <v>15</v>
      </c>
      <c r="F30" s="43">
        <f t="shared" si="27"/>
        <v>11</v>
      </c>
      <c r="G30" s="43">
        <f t="shared" si="27"/>
        <v>3</v>
      </c>
      <c r="H30" s="43">
        <f t="shared" si="27"/>
        <v>1</v>
      </c>
      <c r="I30" s="43">
        <f t="shared" si="27"/>
        <v>17</v>
      </c>
      <c r="J30" s="43">
        <f t="shared" si="27"/>
        <v>13</v>
      </c>
      <c r="K30" s="43">
        <f t="shared" si="27"/>
        <v>7</v>
      </c>
      <c r="L30" s="43">
        <f t="shared" si="27"/>
        <v>8</v>
      </c>
      <c r="M30" s="43">
        <f t="shared" si="27"/>
        <v>14</v>
      </c>
      <c r="N30" s="43">
        <f t="shared" si="27"/>
        <v>10</v>
      </c>
      <c r="O30" s="43">
        <f t="shared" si="27"/>
        <v>2</v>
      </c>
      <c r="P30" s="43">
        <f t="shared" si="27"/>
        <v>6</v>
      </c>
      <c r="Q30" s="43">
        <f t="shared" si="27"/>
        <v>12</v>
      </c>
      <c r="R30" s="43">
        <f t="shared" si="27"/>
        <v>16</v>
      </c>
      <c r="S30" s="43">
        <f t="shared" si="27"/>
        <v>18</v>
      </c>
      <c r="T30" s="43">
        <f t="shared" si="27"/>
        <v>4</v>
      </c>
      <c r="U30" s="44"/>
    </row>
    <row r="31" spans="1:33" x14ac:dyDescent="0.2">
      <c r="A31" s="34" t="s">
        <v>3</v>
      </c>
      <c r="B31" s="36">
        <f>B19</f>
        <v>1</v>
      </c>
      <c r="C31" s="1">
        <f t="shared" ref="C31:T31" si="28">C7+IF(C19="●",-1)+IF(C19="●●",-2)</f>
        <v>5</v>
      </c>
      <c r="D31" s="1">
        <f t="shared" si="28"/>
        <v>5</v>
      </c>
      <c r="E31" s="1">
        <f t="shared" si="28"/>
        <v>5</v>
      </c>
      <c r="F31" s="1">
        <f t="shared" si="28"/>
        <v>5</v>
      </c>
      <c r="G31" s="1">
        <f t="shared" si="28"/>
        <v>5</v>
      </c>
      <c r="H31" s="1">
        <f t="shared" si="28"/>
        <v>4</v>
      </c>
      <c r="I31" s="1">
        <f t="shared" si="28"/>
        <v>5</v>
      </c>
      <c r="J31" s="1">
        <f t="shared" si="28"/>
        <v>5</v>
      </c>
      <c r="K31" s="1">
        <f t="shared" si="28"/>
        <v>5</v>
      </c>
      <c r="L31" s="1">
        <f t="shared" si="28"/>
        <v>5</v>
      </c>
      <c r="M31" s="1">
        <f t="shared" si="28"/>
        <v>5</v>
      </c>
      <c r="N31" s="1">
        <f t="shared" si="28"/>
        <v>5</v>
      </c>
      <c r="O31" s="1">
        <f t="shared" si="28"/>
        <v>5</v>
      </c>
      <c r="P31" s="1">
        <f t="shared" si="28"/>
        <v>5</v>
      </c>
      <c r="Q31" s="1">
        <f t="shared" si="28"/>
        <v>5</v>
      </c>
      <c r="R31" s="1">
        <f t="shared" si="28"/>
        <v>5</v>
      </c>
      <c r="S31" s="1">
        <f t="shared" si="28"/>
        <v>5</v>
      </c>
      <c r="T31" s="1">
        <f t="shared" si="28"/>
        <v>5</v>
      </c>
      <c r="U31" s="9"/>
    </row>
    <row r="32" spans="1:33" x14ac:dyDescent="0.2">
      <c r="A32" s="34" t="s">
        <v>4</v>
      </c>
      <c r="B32" s="36">
        <f t="shared" ref="B32:B38" si="29">B20</f>
        <v>2</v>
      </c>
      <c r="C32" s="1">
        <f t="shared" ref="C32:T32" si="30">C8+IF(C20="●",-1)+IF(C20="●●",-2)</f>
        <v>5</v>
      </c>
      <c r="D32" s="1">
        <f t="shared" si="30"/>
        <v>5</v>
      </c>
      <c r="E32" s="1">
        <f t="shared" si="30"/>
        <v>5</v>
      </c>
      <c r="F32" s="1">
        <f t="shared" si="30"/>
        <v>5</v>
      </c>
      <c r="G32" s="1">
        <f t="shared" si="30"/>
        <v>5</v>
      </c>
      <c r="H32" s="1">
        <f t="shared" si="30"/>
        <v>4</v>
      </c>
      <c r="I32" s="1">
        <f t="shared" si="30"/>
        <v>5</v>
      </c>
      <c r="J32" s="1">
        <f t="shared" si="30"/>
        <v>5</v>
      </c>
      <c r="K32" s="1">
        <f t="shared" si="30"/>
        <v>5</v>
      </c>
      <c r="L32" s="1">
        <f t="shared" si="30"/>
        <v>5</v>
      </c>
      <c r="M32" s="1">
        <f t="shared" si="30"/>
        <v>5</v>
      </c>
      <c r="N32" s="1">
        <f t="shared" si="30"/>
        <v>5</v>
      </c>
      <c r="O32" s="1">
        <f t="shared" si="30"/>
        <v>4</v>
      </c>
      <c r="P32" s="1">
        <f t="shared" si="30"/>
        <v>5</v>
      </c>
      <c r="Q32" s="1">
        <f t="shared" si="30"/>
        <v>5</v>
      </c>
      <c r="R32" s="1">
        <f t="shared" si="30"/>
        <v>5</v>
      </c>
      <c r="S32" s="1">
        <f t="shared" si="30"/>
        <v>5</v>
      </c>
      <c r="T32" s="1">
        <f t="shared" si="30"/>
        <v>5</v>
      </c>
      <c r="U32" s="9"/>
    </row>
    <row r="33" spans="1:45" x14ac:dyDescent="0.2">
      <c r="A33" s="34" t="s">
        <v>5</v>
      </c>
      <c r="B33" s="36">
        <f t="shared" si="29"/>
        <v>3</v>
      </c>
      <c r="C33" s="1">
        <f t="shared" ref="C33:T33" si="31">C9+IF(C21="●",-1)+IF(C21="●●",-2)</f>
        <v>5</v>
      </c>
      <c r="D33" s="1">
        <f t="shared" si="31"/>
        <v>5</v>
      </c>
      <c r="E33" s="1">
        <f t="shared" si="31"/>
        <v>5</v>
      </c>
      <c r="F33" s="1">
        <f t="shared" si="31"/>
        <v>5</v>
      </c>
      <c r="G33" s="1">
        <f t="shared" si="31"/>
        <v>4</v>
      </c>
      <c r="H33" s="1">
        <f t="shared" si="31"/>
        <v>4</v>
      </c>
      <c r="I33" s="1">
        <f t="shared" si="31"/>
        <v>5</v>
      </c>
      <c r="J33" s="1">
        <f t="shared" si="31"/>
        <v>5</v>
      </c>
      <c r="K33" s="1">
        <f t="shared" si="31"/>
        <v>5</v>
      </c>
      <c r="L33" s="1">
        <f t="shared" si="31"/>
        <v>5</v>
      </c>
      <c r="M33" s="1">
        <f t="shared" si="31"/>
        <v>5</v>
      </c>
      <c r="N33" s="1">
        <f t="shared" si="31"/>
        <v>5</v>
      </c>
      <c r="O33" s="1">
        <f t="shared" si="31"/>
        <v>4</v>
      </c>
      <c r="P33" s="1">
        <f t="shared" si="31"/>
        <v>5</v>
      </c>
      <c r="Q33" s="1">
        <f t="shared" si="31"/>
        <v>5</v>
      </c>
      <c r="R33" s="1">
        <f t="shared" si="31"/>
        <v>5</v>
      </c>
      <c r="S33" s="1">
        <f t="shared" si="31"/>
        <v>5</v>
      </c>
      <c r="T33" s="1">
        <f t="shared" si="31"/>
        <v>5</v>
      </c>
      <c r="U33" s="9"/>
    </row>
    <row r="34" spans="1:45" ht="17" x14ac:dyDescent="0.2">
      <c r="A34" s="34" t="s">
        <v>6</v>
      </c>
      <c r="B34" s="36">
        <f t="shared" si="29"/>
        <v>4</v>
      </c>
      <c r="C34" s="1">
        <f t="shared" ref="C34:T34" si="32">C10+IF(C22="●",-1)+IF(C22="●●",-2)</f>
        <v>5</v>
      </c>
      <c r="D34" s="1">
        <f t="shared" si="32"/>
        <v>5</v>
      </c>
      <c r="E34" s="1">
        <f t="shared" si="32"/>
        <v>5</v>
      </c>
      <c r="F34" s="1">
        <f t="shared" si="32"/>
        <v>5</v>
      </c>
      <c r="G34" s="1">
        <f t="shared" si="32"/>
        <v>4</v>
      </c>
      <c r="H34" s="1">
        <f t="shared" si="32"/>
        <v>4</v>
      </c>
      <c r="I34" s="1">
        <f t="shared" si="32"/>
        <v>5</v>
      </c>
      <c r="J34" s="1">
        <f t="shared" si="32"/>
        <v>5</v>
      </c>
      <c r="K34" s="1">
        <f t="shared" si="32"/>
        <v>5</v>
      </c>
      <c r="L34" s="1">
        <f t="shared" si="32"/>
        <v>5</v>
      </c>
      <c r="M34" s="1">
        <f t="shared" si="32"/>
        <v>5</v>
      </c>
      <c r="N34" s="1">
        <f t="shared" si="32"/>
        <v>5</v>
      </c>
      <c r="O34" s="1">
        <f t="shared" si="32"/>
        <v>4</v>
      </c>
      <c r="P34" s="1">
        <f t="shared" si="32"/>
        <v>5</v>
      </c>
      <c r="Q34" s="1">
        <f t="shared" si="32"/>
        <v>5</v>
      </c>
      <c r="R34" s="1">
        <f t="shared" si="32"/>
        <v>5</v>
      </c>
      <c r="S34" s="1">
        <f t="shared" si="32"/>
        <v>5</v>
      </c>
      <c r="T34" s="1">
        <f t="shared" si="32"/>
        <v>4</v>
      </c>
      <c r="U34" s="9"/>
      <c r="AB34" s="284">
        <v>4</v>
      </c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</row>
    <row r="35" spans="1:45" x14ac:dyDescent="0.2">
      <c r="A35" s="34" t="s">
        <v>7</v>
      </c>
      <c r="B35" s="36">
        <f t="shared" si="29"/>
        <v>5</v>
      </c>
      <c r="C35" s="1">
        <f t="shared" ref="C35:T35" si="33">C11+IF(C23="●",-1)+IF(C23="●●",-2)</f>
        <v>5</v>
      </c>
      <c r="D35" s="1">
        <f t="shared" si="33"/>
        <v>4</v>
      </c>
      <c r="E35" s="1">
        <f t="shared" si="33"/>
        <v>5</v>
      </c>
      <c r="F35" s="1">
        <f t="shared" si="33"/>
        <v>5</v>
      </c>
      <c r="G35" s="1">
        <f t="shared" si="33"/>
        <v>4</v>
      </c>
      <c r="H35" s="1">
        <f t="shared" si="33"/>
        <v>4</v>
      </c>
      <c r="I35" s="1">
        <f t="shared" si="33"/>
        <v>5</v>
      </c>
      <c r="J35" s="1">
        <f t="shared" si="33"/>
        <v>5</v>
      </c>
      <c r="K35" s="1">
        <f t="shared" si="33"/>
        <v>5</v>
      </c>
      <c r="L35" s="1">
        <f t="shared" si="33"/>
        <v>5</v>
      </c>
      <c r="M35" s="1">
        <f t="shared" si="33"/>
        <v>5</v>
      </c>
      <c r="N35" s="1">
        <f t="shared" si="33"/>
        <v>5</v>
      </c>
      <c r="O35" s="1">
        <f t="shared" si="33"/>
        <v>4</v>
      </c>
      <c r="P35" s="1">
        <f t="shared" si="33"/>
        <v>5</v>
      </c>
      <c r="Q35" s="1">
        <f t="shared" si="33"/>
        <v>5</v>
      </c>
      <c r="R35" s="1">
        <f t="shared" si="33"/>
        <v>5</v>
      </c>
      <c r="S35" s="1">
        <f t="shared" si="33"/>
        <v>5</v>
      </c>
      <c r="T35" s="1">
        <f t="shared" si="33"/>
        <v>4</v>
      </c>
      <c r="U35" s="9"/>
    </row>
    <row r="36" spans="1:45" x14ac:dyDescent="0.2">
      <c r="A36" s="34" t="s">
        <v>8</v>
      </c>
      <c r="B36" s="36">
        <f t="shared" si="29"/>
        <v>6</v>
      </c>
      <c r="C36" s="1">
        <f t="shared" ref="C36:T36" si="34">C12+IF(C24="●",-1)+IF(C24="●●",-2)</f>
        <v>5</v>
      </c>
      <c r="D36" s="1">
        <f t="shared" si="34"/>
        <v>4</v>
      </c>
      <c r="E36" s="1">
        <f t="shared" si="34"/>
        <v>5</v>
      </c>
      <c r="F36" s="1">
        <f t="shared" si="34"/>
        <v>5</v>
      </c>
      <c r="G36" s="1">
        <f t="shared" si="34"/>
        <v>4</v>
      </c>
      <c r="H36" s="1">
        <f t="shared" si="34"/>
        <v>4</v>
      </c>
      <c r="I36" s="1">
        <f t="shared" si="34"/>
        <v>5</v>
      </c>
      <c r="J36" s="1">
        <f t="shared" si="34"/>
        <v>5</v>
      </c>
      <c r="K36" s="1">
        <f t="shared" si="34"/>
        <v>5</v>
      </c>
      <c r="L36" s="1">
        <f t="shared" si="34"/>
        <v>5</v>
      </c>
      <c r="M36" s="1">
        <f t="shared" si="34"/>
        <v>5</v>
      </c>
      <c r="N36" s="1">
        <f t="shared" si="34"/>
        <v>5</v>
      </c>
      <c r="O36" s="1">
        <f t="shared" si="34"/>
        <v>4</v>
      </c>
      <c r="P36" s="1">
        <f t="shared" si="34"/>
        <v>4</v>
      </c>
      <c r="Q36" s="1">
        <f t="shared" si="34"/>
        <v>5</v>
      </c>
      <c r="R36" s="1">
        <f t="shared" si="34"/>
        <v>5</v>
      </c>
      <c r="S36" s="1">
        <f t="shared" si="34"/>
        <v>5</v>
      </c>
      <c r="T36" s="1">
        <f t="shared" si="34"/>
        <v>4</v>
      </c>
      <c r="U36" s="9"/>
    </row>
    <row r="37" spans="1:45" x14ac:dyDescent="0.2">
      <c r="A37" s="34" t="s">
        <v>9</v>
      </c>
      <c r="B37" s="36">
        <f t="shared" si="29"/>
        <v>7</v>
      </c>
      <c r="C37" s="1">
        <f t="shared" ref="C37:T37" si="35">C13+IF(C25="●",-1)+IF(C25="●●",-2)</f>
        <v>5</v>
      </c>
      <c r="D37" s="1">
        <f t="shared" si="35"/>
        <v>4</v>
      </c>
      <c r="E37" s="1">
        <f t="shared" si="35"/>
        <v>5</v>
      </c>
      <c r="F37" s="1">
        <f t="shared" si="35"/>
        <v>5</v>
      </c>
      <c r="G37" s="1">
        <f t="shared" si="35"/>
        <v>4</v>
      </c>
      <c r="H37" s="1">
        <f t="shared" si="35"/>
        <v>4</v>
      </c>
      <c r="I37" s="1">
        <f t="shared" si="35"/>
        <v>5</v>
      </c>
      <c r="J37" s="1">
        <f t="shared" si="35"/>
        <v>5</v>
      </c>
      <c r="K37" s="1">
        <f t="shared" si="35"/>
        <v>4</v>
      </c>
      <c r="L37" s="1">
        <f t="shared" si="35"/>
        <v>5</v>
      </c>
      <c r="M37" s="1">
        <f t="shared" si="35"/>
        <v>5</v>
      </c>
      <c r="N37" s="1">
        <f t="shared" si="35"/>
        <v>5</v>
      </c>
      <c r="O37" s="1">
        <f t="shared" si="35"/>
        <v>4</v>
      </c>
      <c r="P37" s="1">
        <f t="shared" si="35"/>
        <v>4</v>
      </c>
      <c r="Q37" s="1">
        <f t="shared" si="35"/>
        <v>5</v>
      </c>
      <c r="R37" s="1">
        <f t="shared" si="35"/>
        <v>5</v>
      </c>
      <c r="S37" s="1">
        <f t="shared" si="35"/>
        <v>5</v>
      </c>
      <c r="T37" s="1">
        <f t="shared" si="35"/>
        <v>4</v>
      </c>
      <c r="U37" s="9"/>
    </row>
    <row r="38" spans="1:45" x14ac:dyDescent="0.2">
      <c r="A38" s="37" t="s">
        <v>10</v>
      </c>
      <c r="B38" s="38">
        <f t="shared" si="29"/>
        <v>8</v>
      </c>
      <c r="C38" s="6">
        <f t="shared" ref="C38:T38" si="36">C14+IF(C26="●",-1)+IF(C26="●●",-2)</f>
        <v>5</v>
      </c>
      <c r="D38" s="6">
        <f t="shared" si="36"/>
        <v>4</v>
      </c>
      <c r="E38" s="6">
        <f t="shared" si="36"/>
        <v>5</v>
      </c>
      <c r="F38" s="6">
        <f t="shared" si="36"/>
        <v>5</v>
      </c>
      <c r="G38" s="6">
        <f t="shared" si="36"/>
        <v>4</v>
      </c>
      <c r="H38" s="6">
        <f t="shared" si="36"/>
        <v>4</v>
      </c>
      <c r="I38" s="6">
        <f t="shared" si="36"/>
        <v>5</v>
      </c>
      <c r="J38" s="6">
        <f t="shared" si="36"/>
        <v>5</v>
      </c>
      <c r="K38" s="6">
        <f t="shared" si="36"/>
        <v>4</v>
      </c>
      <c r="L38" s="6">
        <f t="shared" si="36"/>
        <v>4</v>
      </c>
      <c r="M38" s="6">
        <f t="shared" si="36"/>
        <v>5</v>
      </c>
      <c r="N38" s="6">
        <f t="shared" si="36"/>
        <v>5</v>
      </c>
      <c r="O38" s="6">
        <f t="shared" si="36"/>
        <v>4</v>
      </c>
      <c r="P38" s="6">
        <f t="shared" si="36"/>
        <v>4</v>
      </c>
      <c r="Q38" s="6">
        <f t="shared" si="36"/>
        <v>5</v>
      </c>
      <c r="R38" s="6">
        <f t="shared" si="36"/>
        <v>5</v>
      </c>
      <c r="S38" s="6">
        <f t="shared" si="36"/>
        <v>5</v>
      </c>
      <c r="T38" s="6">
        <f t="shared" si="36"/>
        <v>4</v>
      </c>
      <c r="U38" s="10"/>
    </row>
    <row r="40" spans="1:45" x14ac:dyDescent="0.2">
      <c r="A40" s="32"/>
      <c r="B40" s="46"/>
      <c r="C40" s="40">
        <f>C28</f>
        <v>1</v>
      </c>
      <c r="D40" s="40">
        <f t="shared" ref="D40:T40" si="37">D28</f>
        <v>2</v>
      </c>
      <c r="E40" s="40">
        <f t="shared" si="37"/>
        <v>3</v>
      </c>
      <c r="F40" s="40">
        <f t="shared" si="37"/>
        <v>4</v>
      </c>
      <c r="G40" s="40">
        <f t="shared" si="37"/>
        <v>5</v>
      </c>
      <c r="H40" s="40">
        <f t="shared" si="37"/>
        <v>6</v>
      </c>
      <c r="I40" s="40">
        <f t="shared" si="37"/>
        <v>7</v>
      </c>
      <c r="J40" s="40">
        <f t="shared" si="37"/>
        <v>8</v>
      </c>
      <c r="K40" s="40">
        <f t="shared" si="37"/>
        <v>9</v>
      </c>
      <c r="L40" s="40">
        <f t="shared" si="37"/>
        <v>10</v>
      </c>
      <c r="M40" s="40">
        <f t="shared" si="37"/>
        <v>11</v>
      </c>
      <c r="N40" s="40">
        <f t="shared" si="37"/>
        <v>12</v>
      </c>
      <c r="O40" s="40">
        <f t="shared" si="37"/>
        <v>13</v>
      </c>
      <c r="P40" s="40">
        <f t="shared" si="37"/>
        <v>14</v>
      </c>
      <c r="Q40" s="40">
        <f t="shared" si="37"/>
        <v>15</v>
      </c>
      <c r="R40" s="40">
        <f t="shared" si="37"/>
        <v>16</v>
      </c>
      <c r="S40" s="40">
        <f t="shared" si="37"/>
        <v>17</v>
      </c>
      <c r="T40" s="40">
        <f t="shared" si="37"/>
        <v>18</v>
      </c>
      <c r="U40" s="41" t="s">
        <v>2</v>
      </c>
      <c r="V40" s="45" t="s">
        <v>19</v>
      </c>
    </row>
    <row r="41" spans="1:45" x14ac:dyDescent="0.2">
      <c r="A41" s="34"/>
      <c r="B41" s="35"/>
      <c r="C41" s="42">
        <f t="shared" ref="C41:C42" si="38">C29</f>
        <v>4</v>
      </c>
      <c r="D41" s="42">
        <f t="shared" ref="D41:T41" si="39">D29</f>
        <v>5</v>
      </c>
      <c r="E41" s="42">
        <f t="shared" si="39"/>
        <v>3</v>
      </c>
      <c r="F41" s="42">
        <f t="shared" si="39"/>
        <v>5</v>
      </c>
      <c r="G41" s="42">
        <f t="shared" si="39"/>
        <v>4</v>
      </c>
      <c r="H41" s="42">
        <f t="shared" si="39"/>
        <v>4</v>
      </c>
      <c r="I41" s="42">
        <f t="shared" si="39"/>
        <v>3</v>
      </c>
      <c r="J41" s="42">
        <f t="shared" si="39"/>
        <v>4</v>
      </c>
      <c r="K41" s="42">
        <f t="shared" si="39"/>
        <v>4</v>
      </c>
      <c r="L41" s="42">
        <f t="shared" si="39"/>
        <v>4</v>
      </c>
      <c r="M41" s="42">
        <f t="shared" si="39"/>
        <v>4</v>
      </c>
      <c r="N41" s="42">
        <f t="shared" si="39"/>
        <v>5</v>
      </c>
      <c r="O41" s="42">
        <f t="shared" si="39"/>
        <v>4</v>
      </c>
      <c r="P41" s="42">
        <f t="shared" si="39"/>
        <v>3</v>
      </c>
      <c r="Q41" s="42">
        <f t="shared" si="39"/>
        <v>4</v>
      </c>
      <c r="R41" s="42">
        <f t="shared" si="39"/>
        <v>4</v>
      </c>
      <c r="S41" s="42">
        <f t="shared" si="39"/>
        <v>3</v>
      </c>
      <c r="T41" s="42">
        <f t="shared" si="39"/>
        <v>5</v>
      </c>
      <c r="U41" s="35"/>
    </row>
    <row r="42" spans="1:45" x14ac:dyDescent="0.2">
      <c r="A42" s="34"/>
      <c r="B42" s="35"/>
      <c r="C42" s="43">
        <f t="shared" si="38"/>
        <v>9</v>
      </c>
      <c r="D42" s="43">
        <f t="shared" ref="D42:T42" si="40">D30</f>
        <v>5</v>
      </c>
      <c r="E42" s="43">
        <f t="shared" si="40"/>
        <v>15</v>
      </c>
      <c r="F42" s="43">
        <f t="shared" si="40"/>
        <v>11</v>
      </c>
      <c r="G42" s="43">
        <f t="shared" si="40"/>
        <v>3</v>
      </c>
      <c r="H42" s="43">
        <f t="shared" si="40"/>
        <v>1</v>
      </c>
      <c r="I42" s="43">
        <f t="shared" si="40"/>
        <v>17</v>
      </c>
      <c r="J42" s="43">
        <f t="shared" si="40"/>
        <v>13</v>
      </c>
      <c r="K42" s="43">
        <f t="shared" si="40"/>
        <v>7</v>
      </c>
      <c r="L42" s="43">
        <f t="shared" si="40"/>
        <v>8</v>
      </c>
      <c r="M42" s="43">
        <f t="shared" si="40"/>
        <v>14</v>
      </c>
      <c r="N42" s="43">
        <f t="shared" si="40"/>
        <v>10</v>
      </c>
      <c r="O42" s="43">
        <f t="shared" si="40"/>
        <v>2</v>
      </c>
      <c r="P42" s="43">
        <f t="shared" si="40"/>
        <v>6</v>
      </c>
      <c r="Q42" s="43">
        <f t="shared" si="40"/>
        <v>12</v>
      </c>
      <c r="R42" s="43">
        <f t="shared" si="40"/>
        <v>16</v>
      </c>
      <c r="S42" s="43">
        <f t="shared" si="40"/>
        <v>18</v>
      </c>
      <c r="T42" s="43">
        <f t="shared" si="40"/>
        <v>4</v>
      </c>
      <c r="U42" s="44"/>
    </row>
    <row r="43" spans="1:45" x14ac:dyDescent="0.2">
      <c r="A43" s="34" t="s">
        <v>3</v>
      </c>
      <c r="B43" s="36">
        <f>B31</f>
        <v>1</v>
      </c>
      <c r="C43" s="2">
        <f>C31-C29</f>
        <v>1</v>
      </c>
      <c r="D43" s="3">
        <f t="shared" ref="D43:T43" si="41">D31-D29</f>
        <v>0</v>
      </c>
      <c r="E43" s="3">
        <f t="shared" si="41"/>
        <v>2</v>
      </c>
      <c r="F43" s="3">
        <f t="shared" si="41"/>
        <v>0</v>
      </c>
      <c r="G43" s="3">
        <f t="shared" si="41"/>
        <v>1</v>
      </c>
      <c r="H43" s="3">
        <f t="shared" si="41"/>
        <v>0</v>
      </c>
      <c r="I43" s="3">
        <f t="shared" si="41"/>
        <v>2</v>
      </c>
      <c r="J43" s="3">
        <f t="shared" si="41"/>
        <v>1</v>
      </c>
      <c r="K43" s="3">
        <f t="shared" si="41"/>
        <v>1</v>
      </c>
      <c r="L43" s="3">
        <f t="shared" si="41"/>
        <v>1</v>
      </c>
      <c r="M43" s="3">
        <f t="shared" si="41"/>
        <v>1</v>
      </c>
      <c r="N43" s="3">
        <f t="shared" si="41"/>
        <v>0</v>
      </c>
      <c r="O43" s="3">
        <f t="shared" si="41"/>
        <v>1</v>
      </c>
      <c r="P43" s="3">
        <f t="shared" si="41"/>
        <v>2</v>
      </c>
      <c r="Q43" s="3">
        <f t="shared" si="41"/>
        <v>1</v>
      </c>
      <c r="R43" s="3">
        <f t="shared" si="41"/>
        <v>1</v>
      </c>
      <c r="S43" s="3">
        <f t="shared" si="41"/>
        <v>2</v>
      </c>
      <c r="T43" s="3">
        <f t="shared" si="41"/>
        <v>0</v>
      </c>
      <c r="U43" s="4"/>
    </row>
    <row r="44" spans="1:45" x14ac:dyDescent="0.2">
      <c r="A44" s="34" t="s">
        <v>4</v>
      </c>
      <c r="B44" s="36">
        <f t="shared" ref="B44:B50" si="42">B32</f>
        <v>2</v>
      </c>
      <c r="C44" s="11">
        <f>C32-C29</f>
        <v>1</v>
      </c>
      <c r="D44" s="1">
        <f t="shared" ref="D44:T44" si="43">D32-D29</f>
        <v>0</v>
      </c>
      <c r="E44" s="1">
        <f t="shared" si="43"/>
        <v>2</v>
      </c>
      <c r="F44" s="1">
        <f t="shared" si="43"/>
        <v>0</v>
      </c>
      <c r="G44" s="1">
        <f t="shared" si="43"/>
        <v>1</v>
      </c>
      <c r="H44" s="1">
        <f t="shared" si="43"/>
        <v>0</v>
      </c>
      <c r="I44" s="1">
        <f t="shared" si="43"/>
        <v>2</v>
      </c>
      <c r="J44" s="1">
        <f t="shared" si="43"/>
        <v>1</v>
      </c>
      <c r="K44" s="1">
        <f t="shared" si="43"/>
        <v>1</v>
      </c>
      <c r="L44" s="1">
        <f t="shared" si="43"/>
        <v>1</v>
      </c>
      <c r="M44" s="1">
        <f t="shared" si="43"/>
        <v>1</v>
      </c>
      <c r="N44" s="1">
        <f t="shared" si="43"/>
        <v>0</v>
      </c>
      <c r="O44" s="1">
        <f t="shared" si="43"/>
        <v>0</v>
      </c>
      <c r="P44" s="1">
        <f t="shared" si="43"/>
        <v>2</v>
      </c>
      <c r="Q44" s="1">
        <f t="shared" si="43"/>
        <v>1</v>
      </c>
      <c r="R44" s="1">
        <f t="shared" si="43"/>
        <v>1</v>
      </c>
      <c r="S44" s="1">
        <f t="shared" si="43"/>
        <v>2</v>
      </c>
      <c r="T44" s="1">
        <f t="shared" si="43"/>
        <v>0</v>
      </c>
      <c r="U44" s="9"/>
    </row>
    <row r="45" spans="1:45" x14ac:dyDescent="0.2">
      <c r="A45" s="34" t="s">
        <v>5</v>
      </c>
      <c r="B45" s="36">
        <f t="shared" si="42"/>
        <v>3</v>
      </c>
      <c r="C45" s="11">
        <f>C33-C29</f>
        <v>1</v>
      </c>
      <c r="D45" s="1">
        <f t="shared" ref="D45:T45" si="44">D33-D29</f>
        <v>0</v>
      </c>
      <c r="E45" s="1">
        <f t="shared" si="44"/>
        <v>2</v>
      </c>
      <c r="F45" s="1">
        <f t="shared" si="44"/>
        <v>0</v>
      </c>
      <c r="G45" s="1">
        <f t="shared" si="44"/>
        <v>0</v>
      </c>
      <c r="H45" s="1">
        <f t="shared" si="44"/>
        <v>0</v>
      </c>
      <c r="I45" s="1">
        <f t="shared" si="44"/>
        <v>2</v>
      </c>
      <c r="J45" s="1">
        <f t="shared" si="44"/>
        <v>1</v>
      </c>
      <c r="K45" s="1">
        <f t="shared" si="44"/>
        <v>1</v>
      </c>
      <c r="L45" s="1">
        <f t="shared" si="44"/>
        <v>1</v>
      </c>
      <c r="M45" s="1">
        <f t="shared" si="44"/>
        <v>1</v>
      </c>
      <c r="N45" s="1">
        <f t="shared" si="44"/>
        <v>0</v>
      </c>
      <c r="O45" s="1">
        <f t="shared" si="44"/>
        <v>0</v>
      </c>
      <c r="P45" s="1">
        <f t="shared" si="44"/>
        <v>2</v>
      </c>
      <c r="Q45" s="1">
        <f t="shared" si="44"/>
        <v>1</v>
      </c>
      <c r="R45" s="1">
        <f t="shared" si="44"/>
        <v>1</v>
      </c>
      <c r="S45" s="1">
        <f t="shared" si="44"/>
        <v>2</v>
      </c>
      <c r="T45" s="1">
        <f t="shared" si="44"/>
        <v>0</v>
      </c>
      <c r="U45" s="9"/>
    </row>
    <row r="46" spans="1:45" x14ac:dyDescent="0.2">
      <c r="A46" s="34" t="s">
        <v>6</v>
      </c>
      <c r="B46" s="36">
        <f t="shared" si="42"/>
        <v>4</v>
      </c>
      <c r="C46" s="11">
        <f>C34-C29</f>
        <v>1</v>
      </c>
      <c r="D46" s="1">
        <f t="shared" ref="D46:T46" si="45">D34-D29</f>
        <v>0</v>
      </c>
      <c r="E46" s="1">
        <f t="shared" si="45"/>
        <v>2</v>
      </c>
      <c r="F46" s="1">
        <f t="shared" si="45"/>
        <v>0</v>
      </c>
      <c r="G46" s="1">
        <f t="shared" si="45"/>
        <v>0</v>
      </c>
      <c r="H46" s="1">
        <f t="shared" si="45"/>
        <v>0</v>
      </c>
      <c r="I46" s="1">
        <f t="shared" si="45"/>
        <v>2</v>
      </c>
      <c r="J46" s="1">
        <f t="shared" si="45"/>
        <v>1</v>
      </c>
      <c r="K46" s="1">
        <f t="shared" si="45"/>
        <v>1</v>
      </c>
      <c r="L46" s="1">
        <f t="shared" si="45"/>
        <v>1</v>
      </c>
      <c r="M46" s="1">
        <f t="shared" si="45"/>
        <v>1</v>
      </c>
      <c r="N46" s="1">
        <f t="shared" si="45"/>
        <v>0</v>
      </c>
      <c r="O46" s="1">
        <f t="shared" si="45"/>
        <v>0</v>
      </c>
      <c r="P46" s="1">
        <f t="shared" si="45"/>
        <v>2</v>
      </c>
      <c r="Q46" s="1">
        <f t="shared" si="45"/>
        <v>1</v>
      </c>
      <c r="R46" s="1">
        <f t="shared" si="45"/>
        <v>1</v>
      </c>
      <c r="S46" s="1">
        <f t="shared" si="45"/>
        <v>2</v>
      </c>
      <c r="T46" s="1">
        <f t="shared" si="45"/>
        <v>-1</v>
      </c>
      <c r="U46" s="9"/>
    </row>
    <row r="47" spans="1:45" x14ac:dyDescent="0.2">
      <c r="A47" s="34" t="s">
        <v>7</v>
      </c>
      <c r="B47" s="36">
        <f t="shared" si="42"/>
        <v>5</v>
      </c>
      <c r="C47" s="11">
        <f>C35-C29</f>
        <v>1</v>
      </c>
      <c r="D47" s="1">
        <f t="shared" ref="D47:T47" si="46">D35-D29</f>
        <v>-1</v>
      </c>
      <c r="E47" s="1">
        <f t="shared" si="46"/>
        <v>2</v>
      </c>
      <c r="F47" s="1">
        <f t="shared" si="46"/>
        <v>0</v>
      </c>
      <c r="G47" s="1">
        <f t="shared" si="46"/>
        <v>0</v>
      </c>
      <c r="H47" s="1">
        <f t="shared" si="46"/>
        <v>0</v>
      </c>
      <c r="I47" s="1">
        <f t="shared" si="46"/>
        <v>2</v>
      </c>
      <c r="J47" s="1">
        <f t="shared" si="46"/>
        <v>1</v>
      </c>
      <c r="K47" s="1">
        <f t="shared" si="46"/>
        <v>1</v>
      </c>
      <c r="L47" s="1">
        <f t="shared" si="46"/>
        <v>1</v>
      </c>
      <c r="M47" s="1">
        <f t="shared" si="46"/>
        <v>1</v>
      </c>
      <c r="N47" s="1">
        <f t="shared" si="46"/>
        <v>0</v>
      </c>
      <c r="O47" s="1">
        <f t="shared" si="46"/>
        <v>0</v>
      </c>
      <c r="P47" s="1">
        <f t="shared" si="46"/>
        <v>2</v>
      </c>
      <c r="Q47" s="1">
        <f t="shared" si="46"/>
        <v>1</v>
      </c>
      <c r="R47" s="1">
        <f t="shared" si="46"/>
        <v>1</v>
      </c>
      <c r="S47" s="1">
        <f t="shared" si="46"/>
        <v>2</v>
      </c>
      <c r="T47" s="1">
        <f t="shared" si="46"/>
        <v>-1</v>
      </c>
      <c r="U47" s="9"/>
    </row>
    <row r="48" spans="1:45" x14ac:dyDescent="0.2">
      <c r="A48" s="34" t="s">
        <v>8</v>
      </c>
      <c r="B48" s="36">
        <f t="shared" si="42"/>
        <v>6</v>
      </c>
      <c r="C48" s="11">
        <f>C36-C29</f>
        <v>1</v>
      </c>
      <c r="D48" s="1">
        <f t="shared" ref="D48:T48" si="47">D36-D29</f>
        <v>-1</v>
      </c>
      <c r="E48" s="1">
        <f t="shared" si="47"/>
        <v>2</v>
      </c>
      <c r="F48" s="1">
        <f t="shared" si="47"/>
        <v>0</v>
      </c>
      <c r="G48" s="1">
        <f t="shared" si="47"/>
        <v>0</v>
      </c>
      <c r="H48" s="1">
        <f t="shared" si="47"/>
        <v>0</v>
      </c>
      <c r="I48" s="1">
        <f t="shared" si="47"/>
        <v>2</v>
      </c>
      <c r="J48" s="1">
        <f t="shared" si="47"/>
        <v>1</v>
      </c>
      <c r="K48" s="1">
        <f t="shared" si="47"/>
        <v>1</v>
      </c>
      <c r="L48" s="1">
        <f t="shared" si="47"/>
        <v>1</v>
      </c>
      <c r="M48" s="1">
        <f t="shared" si="47"/>
        <v>1</v>
      </c>
      <c r="N48" s="1">
        <f t="shared" si="47"/>
        <v>0</v>
      </c>
      <c r="O48" s="1">
        <f t="shared" si="47"/>
        <v>0</v>
      </c>
      <c r="P48" s="1">
        <f t="shared" si="47"/>
        <v>1</v>
      </c>
      <c r="Q48" s="1">
        <f t="shared" si="47"/>
        <v>1</v>
      </c>
      <c r="R48" s="1">
        <f t="shared" si="47"/>
        <v>1</v>
      </c>
      <c r="S48" s="1">
        <f t="shared" si="47"/>
        <v>2</v>
      </c>
      <c r="T48" s="1">
        <f t="shared" si="47"/>
        <v>-1</v>
      </c>
      <c r="U48" s="9"/>
    </row>
    <row r="49" spans="1:22" x14ac:dyDescent="0.2">
      <c r="A49" s="34" t="s">
        <v>9</v>
      </c>
      <c r="B49" s="36">
        <f t="shared" si="42"/>
        <v>7</v>
      </c>
      <c r="C49" s="11">
        <f>C37-C29</f>
        <v>1</v>
      </c>
      <c r="D49" s="1">
        <f t="shared" ref="D49:T49" si="48">D37-D29</f>
        <v>-1</v>
      </c>
      <c r="E49" s="1">
        <f t="shared" si="48"/>
        <v>2</v>
      </c>
      <c r="F49" s="1">
        <f t="shared" si="48"/>
        <v>0</v>
      </c>
      <c r="G49" s="1">
        <f t="shared" si="48"/>
        <v>0</v>
      </c>
      <c r="H49" s="1">
        <f t="shared" si="48"/>
        <v>0</v>
      </c>
      <c r="I49" s="1">
        <f t="shared" si="48"/>
        <v>2</v>
      </c>
      <c r="J49" s="1">
        <f t="shared" si="48"/>
        <v>1</v>
      </c>
      <c r="K49" s="1">
        <f t="shared" si="48"/>
        <v>0</v>
      </c>
      <c r="L49" s="1">
        <f t="shared" si="48"/>
        <v>1</v>
      </c>
      <c r="M49" s="1">
        <f t="shared" si="48"/>
        <v>1</v>
      </c>
      <c r="N49" s="1">
        <f t="shared" si="48"/>
        <v>0</v>
      </c>
      <c r="O49" s="1">
        <f t="shared" si="48"/>
        <v>0</v>
      </c>
      <c r="P49" s="1">
        <f t="shared" si="48"/>
        <v>1</v>
      </c>
      <c r="Q49" s="1">
        <f t="shared" si="48"/>
        <v>1</v>
      </c>
      <c r="R49" s="1">
        <f t="shared" si="48"/>
        <v>1</v>
      </c>
      <c r="S49" s="1">
        <f t="shared" si="48"/>
        <v>2</v>
      </c>
      <c r="T49" s="1">
        <f t="shared" si="48"/>
        <v>-1</v>
      </c>
      <c r="U49" s="9"/>
    </row>
    <row r="50" spans="1:22" x14ac:dyDescent="0.2">
      <c r="A50" s="37" t="s">
        <v>10</v>
      </c>
      <c r="B50" s="38">
        <f t="shared" si="42"/>
        <v>8</v>
      </c>
      <c r="C50" s="5">
        <f>C38-C29</f>
        <v>1</v>
      </c>
      <c r="D50" s="6">
        <f t="shared" ref="D50:T50" si="49">D38-D29</f>
        <v>-1</v>
      </c>
      <c r="E50" s="6">
        <f t="shared" si="49"/>
        <v>2</v>
      </c>
      <c r="F50" s="6">
        <f t="shared" si="49"/>
        <v>0</v>
      </c>
      <c r="G50" s="6">
        <f t="shared" si="49"/>
        <v>0</v>
      </c>
      <c r="H50" s="6">
        <f t="shared" si="49"/>
        <v>0</v>
      </c>
      <c r="I50" s="6">
        <f t="shared" si="49"/>
        <v>2</v>
      </c>
      <c r="J50" s="6">
        <f t="shared" si="49"/>
        <v>1</v>
      </c>
      <c r="K50" s="6">
        <f t="shared" si="49"/>
        <v>0</v>
      </c>
      <c r="L50" s="6">
        <f t="shared" si="49"/>
        <v>0</v>
      </c>
      <c r="M50" s="6">
        <f t="shared" si="49"/>
        <v>1</v>
      </c>
      <c r="N50" s="6">
        <f t="shared" si="49"/>
        <v>0</v>
      </c>
      <c r="O50" s="6">
        <f t="shared" si="49"/>
        <v>0</v>
      </c>
      <c r="P50" s="6">
        <f t="shared" si="49"/>
        <v>1</v>
      </c>
      <c r="Q50" s="6">
        <f t="shared" si="49"/>
        <v>1</v>
      </c>
      <c r="R50" s="6">
        <f t="shared" si="49"/>
        <v>1</v>
      </c>
      <c r="S50" s="6">
        <f t="shared" si="49"/>
        <v>2</v>
      </c>
      <c r="T50" s="6">
        <f t="shared" si="49"/>
        <v>-1</v>
      </c>
      <c r="U50" s="10"/>
    </row>
    <row r="52" spans="1:22" x14ac:dyDescent="0.2">
      <c r="A52" s="32"/>
      <c r="B52" s="46"/>
      <c r="C52" s="40">
        <f>C40</f>
        <v>1</v>
      </c>
      <c r="D52" s="40">
        <f t="shared" ref="D52:T52" si="50">D40</f>
        <v>2</v>
      </c>
      <c r="E52" s="40">
        <f t="shared" si="50"/>
        <v>3</v>
      </c>
      <c r="F52" s="40">
        <f t="shared" si="50"/>
        <v>4</v>
      </c>
      <c r="G52" s="40">
        <f t="shared" si="50"/>
        <v>5</v>
      </c>
      <c r="H52" s="40">
        <f t="shared" si="50"/>
        <v>6</v>
      </c>
      <c r="I52" s="40">
        <f t="shared" si="50"/>
        <v>7</v>
      </c>
      <c r="J52" s="40">
        <f t="shared" si="50"/>
        <v>8</v>
      </c>
      <c r="K52" s="40">
        <f t="shared" si="50"/>
        <v>9</v>
      </c>
      <c r="L52" s="40">
        <f t="shared" si="50"/>
        <v>10</v>
      </c>
      <c r="M52" s="40">
        <f t="shared" si="50"/>
        <v>11</v>
      </c>
      <c r="N52" s="40">
        <f t="shared" si="50"/>
        <v>12</v>
      </c>
      <c r="O52" s="40">
        <f t="shared" si="50"/>
        <v>13</v>
      </c>
      <c r="P52" s="40">
        <f t="shared" si="50"/>
        <v>14</v>
      </c>
      <c r="Q52" s="40">
        <f t="shared" si="50"/>
        <v>15</v>
      </c>
      <c r="R52" s="40">
        <f t="shared" si="50"/>
        <v>16</v>
      </c>
      <c r="S52" s="40">
        <f t="shared" si="50"/>
        <v>17</v>
      </c>
      <c r="T52" s="40">
        <f t="shared" si="50"/>
        <v>18</v>
      </c>
      <c r="U52" s="41" t="s">
        <v>2</v>
      </c>
      <c r="V52" s="45" t="s">
        <v>19</v>
      </c>
    </row>
    <row r="53" spans="1:22" x14ac:dyDescent="0.2">
      <c r="A53" s="34"/>
      <c r="B53" s="35"/>
      <c r="C53" s="42">
        <f t="shared" ref="C53:C54" si="51">C41</f>
        <v>4</v>
      </c>
      <c r="D53" s="42">
        <f t="shared" ref="D53:T53" si="52">D41</f>
        <v>5</v>
      </c>
      <c r="E53" s="42">
        <f t="shared" si="52"/>
        <v>3</v>
      </c>
      <c r="F53" s="42">
        <f t="shared" si="52"/>
        <v>5</v>
      </c>
      <c r="G53" s="42">
        <f t="shared" si="52"/>
        <v>4</v>
      </c>
      <c r="H53" s="42">
        <f t="shared" si="52"/>
        <v>4</v>
      </c>
      <c r="I53" s="42">
        <f t="shared" si="52"/>
        <v>3</v>
      </c>
      <c r="J53" s="42">
        <f t="shared" si="52"/>
        <v>4</v>
      </c>
      <c r="K53" s="42">
        <f t="shared" si="52"/>
        <v>4</v>
      </c>
      <c r="L53" s="42">
        <f t="shared" si="52"/>
        <v>4</v>
      </c>
      <c r="M53" s="42">
        <f t="shared" si="52"/>
        <v>4</v>
      </c>
      <c r="N53" s="42">
        <f t="shared" si="52"/>
        <v>5</v>
      </c>
      <c r="O53" s="42">
        <f t="shared" si="52"/>
        <v>4</v>
      </c>
      <c r="P53" s="42">
        <f t="shared" si="52"/>
        <v>3</v>
      </c>
      <c r="Q53" s="42">
        <f t="shared" si="52"/>
        <v>4</v>
      </c>
      <c r="R53" s="42">
        <f t="shared" si="52"/>
        <v>4</v>
      </c>
      <c r="S53" s="42">
        <f t="shared" si="52"/>
        <v>3</v>
      </c>
      <c r="T53" s="42">
        <f t="shared" si="52"/>
        <v>5</v>
      </c>
      <c r="U53" s="35"/>
    </row>
    <row r="54" spans="1:22" x14ac:dyDescent="0.2">
      <c r="A54" s="34"/>
      <c r="B54" s="35"/>
      <c r="C54" s="43">
        <f t="shared" si="51"/>
        <v>9</v>
      </c>
      <c r="D54" s="43">
        <f t="shared" ref="D54:T54" si="53">D42</f>
        <v>5</v>
      </c>
      <c r="E54" s="43">
        <f t="shared" si="53"/>
        <v>15</v>
      </c>
      <c r="F54" s="43">
        <f t="shared" si="53"/>
        <v>11</v>
      </c>
      <c r="G54" s="43">
        <f t="shared" si="53"/>
        <v>3</v>
      </c>
      <c r="H54" s="43">
        <f t="shared" si="53"/>
        <v>1</v>
      </c>
      <c r="I54" s="43">
        <f t="shared" si="53"/>
        <v>17</v>
      </c>
      <c r="J54" s="43">
        <f t="shared" si="53"/>
        <v>13</v>
      </c>
      <c r="K54" s="43">
        <f t="shared" si="53"/>
        <v>7</v>
      </c>
      <c r="L54" s="43">
        <f t="shared" si="53"/>
        <v>8</v>
      </c>
      <c r="M54" s="43">
        <f t="shared" si="53"/>
        <v>14</v>
      </c>
      <c r="N54" s="43">
        <f t="shared" si="53"/>
        <v>10</v>
      </c>
      <c r="O54" s="43">
        <f t="shared" si="53"/>
        <v>2</v>
      </c>
      <c r="P54" s="43">
        <f t="shared" si="53"/>
        <v>6</v>
      </c>
      <c r="Q54" s="43">
        <f t="shared" si="53"/>
        <v>12</v>
      </c>
      <c r="R54" s="43">
        <f t="shared" si="53"/>
        <v>16</v>
      </c>
      <c r="S54" s="43">
        <f t="shared" si="53"/>
        <v>18</v>
      </c>
      <c r="T54" s="43">
        <f t="shared" si="53"/>
        <v>4</v>
      </c>
      <c r="U54" s="44"/>
    </row>
    <row r="55" spans="1:22" x14ac:dyDescent="0.2">
      <c r="A55" s="34" t="s">
        <v>3</v>
      </c>
      <c r="B55" s="36">
        <f>B43</f>
        <v>1</v>
      </c>
      <c r="C55" s="2">
        <f>IF(C43=-4,12)+(IF(C43=-3,8))+(IF(C43=-2,5))+(IF(C43=-1,3))+(IF(C43=0,0))+(IF(C43=1,-1))+(IF(C43&gt;=2,-2))</f>
        <v>-1</v>
      </c>
      <c r="D55" s="3">
        <f t="shared" ref="D55:T55" si="54">IF(D43=-4,12)+(IF(D43=-3,8))+(IF(D43=-2,5))+(IF(D43=-1,3))+(IF(D43=0,0))+(IF(D43=1,-1))+(IF(D43&gt;=2,-2))</f>
        <v>0</v>
      </c>
      <c r="E55" s="3">
        <f t="shared" si="54"/>
        <v>-2</v>
      </c>
      <c r="F55" s="3">
        <f t="shared" si="54"/>
        <v>0</v>
      </c>
      <c r="G55" s="3">
        <f t="shared" si="54"/>
        <v>-1</v>
      </c>
      <c r="H55" s="3">
        <f t="shared" si="54"/>
        <v>0</v>
      </c>
      <c r="I55" s="3">
        <f t="shared" si="54"/>
        <v>-2</v>
      </c>
      <c r="J55" s="3">
        <f t="shared" si="54"/>
        <v>-1</v>
      </c>
      <c r="K55" s="3">
        <f t="shared" si="54"/>
        <v>-1</v>
      </c>
      <c r="L55" s="3">
        <f t="shared" si="54"/>
        <v>-1</v>
      </c>
      <c r="M55" s="3">
        <f t="shared" si="54"/>
        <v>-1</v>
      </c>
      <c r="N55" s="3">
        <f t="shared" si="54"/>
        <v>0</v>
      </c>
      <c r="O55" s="3">
        <f t="shared" si="54"/>
        <v>-1</v>
      </c>
      <c r="P55" s="3">
        <f t="shared" si="54"/>
        <v>-2</v>
      </c>
      <c r="Q55" s="3">
        <f t="shared" si="54"/>
        <v>-1</v>
      </c>
      <c r="R55" s="3">
        <f t="shared" si="54"/>
        <v>-1</v>
      </c>
      <c r="S55" s="3">
        <f t="shared" si="54"/>
        <v>-2</v>
      </c>
      <c r="T55" s="3">
        <f t="shared" si="54"/>
        <v>0</v>
      </c>
      <c r="U55" s="16">
        <f>SUM(C55:T55)</f>
        <v>-17</v>
      </c>
    </row>
    <row r="56" spans="1:22" x14ac:dyDescent="0.2">
      <c r="A56" s="34" t="s">
        <v>4</v>
      </c>
      <c r="B56" s="36">
        <f t="shared" ref="B56:B62" si="55">B44</f>
        <v>2</v>
      </c>
      <c r="C56" s="11">
        <f t="shared" ref="C56:C62" si="56">IF(C44=-4,12)+(IF(C44=-3,8))+(IF(C44=-2,5))+(IF(C44=-1,3))+(IF(C44=0,0))+(IF(C44=1,-1))+(IF(C44&gt;=2,-2))</f>
        <v>-1</v>
      </c>
      <c r="D56" s="1">
        <f t="shared" ref="D56:T56" si="57">IF(D44=-4,12)+(IF(D44=-3,8))+(IF(D44=-2,5))+(IF(D44=-1,3))+(IF(D44=0,0))+(IF(D44=1,-1))+(IF(D44&gt;=2,-2))</f>
        <v>0</v>
      </c>
      <c r="E56" s="1">
        <f t="shared" si="57"/>
        <v>-2</v>
      </c>
      <c r="F56" s="1">
        <f t="shared" si="57"/>
        <v>0</v>
      </c>
      <c r="G56" s="1">
        <f t="shared" si="57"/>
        <v>-1</v>
      </c>
      <c r="H56" s="1">
        <f t="shared" si="57"/>
        <v>0</v>
      </c>
      <c r="I56" s="1">
        <f t="shared" si="57"/>
        <v>-2</v>
      </c>
      <c r="J56" s="1">
        <f t="shared" si="57"/>
        <v>-1</v>
      </c>
      <c r="K56" s="1">
        <f t="shared" si="57"/>
        <v>-1</v>
      </c>
      <c r="L56" s="1">
        <f>IF(L44=-4,12)+(IF(L44=-3,8))+(IF(L44=-2,5))+(IF(L44=-1,3))+(IF(L44=0,0))+(IF(L44=1,-1))+(IF(L44&gt;=2,-2))</f>
        <v>-1</v>
      </c>
      <c r="M56" s="1">
        <f t="shared" si="57"/>
        <v>-1</v>
      </c>
      <c r="N56" s="1">
        <f t="shared" si="57"/>
        <v>0</v>
      </c>
      <c r="O56" s="1">
        <f t="shared" si="57"/>
        <v>0</v>
      </c>
      <c r="P56" s="1">
        <f t="shared" si="57"/>
        <v>-2</v>
      </c>
      <c r="Q56" s="1">
        <f t="shared" si="57"/>
        <v>-1</v>
      </c>
      <c r="R56" s="1">
        <f t="shared" si="57"/>
        <v>-1</v>
      </c>
      <c r="S56" s="1">
        <f t="shared" si="57"/>
        <v>-2</v>
      </c>
      <c r="T56" s="1">
        <f t="shared" si="57"/>
        <v>0</v>
      </c>
      <c r="U56" s="8">
        <f t="shared" ref="U56:U62" si="58">SUM(C56:T56)</f>
        <v>-16</v>
      </c>
    </row>
    <row r="57" spans="1:22" x14ac:dyDescent="0.2">
      <c r="A57" s="34" t="s">
        <v>5</v>
      </c>
      <c r="B57" s="36">
        <f t="shared" si="55"/>
        <v>3</v>
      </c>
      <c r="C57" s="11">
        <f t="shared" si="56"/>
        <v>-1</v>
      </c>
      <c r="D57" s="1">
        <f t="shared" ref="D57:T57" si="59">IF(D45=-4,12)+(IF(D45=-3,8))+(IF(D45=-2,5))+(IF(D45=-1,3))+(IF(D45=0,0))+(IF(D45=1,-1))+(IF(D45&gt;=2,-2))</f>
        <v>0</v>
      </c>
      <c r="E57" s="1">
        <f t="shared" si="59"/>
        <v>-2</v>
      </c>
      <c r="F57" s="1">
        <f t="shared" si="59"/>
        <v>0</v>
      </c>
      <c r="G57" s="1">
        <f t="shared" si="59"/>
        <v>0</v>
      </c>
      <c r="H57" s="1">
        <f t="shared" si="59"/>
        <v>0</v>
      </c>
      <c r="I57" s="1">
        <f t="shared" si="59"/>
        <v>-2</v>
      </c>
      <c r="J57" s="14">
        <f t="shared" si="59"/>
        <v>-1</v>
      </c>
      <c r="K57" s="1">
        <f t="shared" si="59"/>
        <v>-1</v>
      </c>
      <c r="L57" s="1">
        <f t="shared" si="59"/>
        <v>-1</v>
      </c>
      <c r="M57" s="1">
        <f t="shared" si="59"/>
        <v>-1</v>
      </c>
      <c r="N57" s="1">
        <f t="shared" si="59"/>
        <v>0</v>
      </c>
      <c r="O57" s="1">
        <f t="shared" si="59"/>
        <v>0</v>
      </c>
      <c r="P57" s="1">
        <f t="shared" si="59"/>
        <v>-2</v>
      </c>
      <c r="Q57" s="1">
        <f t="shared" si="59"/>
        <v>-1</v>
      </c>
      <c r="R57" s="1">
        <f t="shared" si="59"/>
        <v>-1</v>
      </c>
      <c r="S57" s="1">
        <f t="shared" si="59"/>
        <v>-2</v>
      </c>
      <c r="T57" s="1">
        <f t="shared" si="59"/>
        <v>0</v>
      </c>
      <c r="U57" s="8">
        <f t="shared" si="58"/>
        <v>-15</v>
      </c>
    </row>
    <row r="58" spans="1:22" x14ac:dyDescent="0.2">
      <c r="A58" s="34" t="s">
        <v>6</v>
      </c>
      <c r="B58" s="36">
        <f t="shared" si="55"/>
        <v>4</v>
      </c>
      <c r="C58" s="11">
        <f t="shared" si="56"/>
        <v>-1</v>
      </c>
      <c r="D58" s="1">
        <f t="shared" ref="D58:T58" si="60">IF(D46=-4,12)+(IF(D46=-3,8))+(IF(D46=-2,5))+(IF(D46=-1,3))+(IF(D46=0,0))+(IF(D46=1,-1))+(IF(D46&gt;=2,-2))</f>
        <v>0</v>
      </c>
      <c r="E58" s="1">
        <f t="shared" si="60"/>
        <v>-2</v>
      </c>
      <c r="F58" s="1">
        <f t="shared" si="60"/>
        <v>0</v>
      </c>
      <c r="G58" s="1">
        <f t="shared" si="60"/>
        <v>0</v>
      </c>
      <c r="H58" s="1">
        <f t="shared" si="60"/>
        <v>0</v>
      </c>
      <c r="I58" s="1">
        <f t="shared" si="60"/>
        <v>-2</v>
      </c>
      <c r="J58" s="14">
        <f t="shared" si="60"/>
        <v>-1</v>
      </c>
      <c r="K58" s="1">
        <f t="shared" si="60"/>
        <v>-1</v>
      </c>
      <c r="L58" s="1">
        <f t="shared" si="60"/>
        <v>-1</v>
      </c>
      <c r="M58" s="1">
        <f t="shared" si="60"/>
        <v>-1</v>
      </c>
      <c r="N58" s="1">
        <f t="shared" si="60"/>
        <v>0</v>
      </c>
      <c r="O58" s="1">
        <f t="shared" si="60"/>
        <v>0</v>
      </c>
      <c r="P58" s="1">
        <f t="shared" si="60"/>
        <v>-2</v>
      </c>
      <c r="Q58" s="1">
        <f t="shared" si="60"/>
        <v>-1</v>
      </c>
      <c r="R58" s="1">
        <f t="shared" si="60"/>
        <v>-1</v>
      </c>
      <c r="S58" s="1">
        <f t="shared" si="60"/>
        <v>-2</v>
      </c>
      <c r="T58" s="1">
        <f t="shared" si="60"/>
        <v>3</v>
      </c>
      <c r="U58" s="8">
        <f t="shared" si="58"/>
        <v>-12</v>
      </c>
    </row>
    <row r="59" spans="1:22" x14ac:dyDescent="0.2">
      <c r="A59" s="34" t="s">
        <v>7</v>
      </c>
      <c r="B59" s="36">
        <f t="shared" si="55"/>
        <v>5</v>
      </c>
      <c r="C59" s="11">
        <f t="shared" si="56"/>
        <v>-1</v>
      </c>
      <c r="D59" s="1">
        <f t="shared" ref="D59:T59" si="61">IF(D47=-4,12)+(IF(D47=-3,8))+(IF(D47=-2,5))+(IF(D47=-1,3))+(IF(D47=0,0))+(IF(D47=1,-1))+(IF(D47&gt;=2,-2))</f>
        <v>3</v>
      </c>
      <c r="E59" s="1">
        <f t="shared" si="61"/>
        <v>-2</v>
      </c>
      <c r="F59" s="1">
        <f t="shared" si="61"/>
        <v>0</v>
      </c>
      <c r="G59" s="1">
        <f t="shared" si="61"/>
        <v>0</v>
      </c>
      <c r="H59" s="1">
        <f t="shared" si="61"/>
        <v>0</v>
      </c>
      <c r="I59" s="1">
        <f t="shared" si="61"/>
        <v>-2</v>
      </c>
      <c r="J59" s="15">
        <f t="shared" si="61"/>
        <v>-1</v>
      </c>
      <c r="K59" s="13">
        <f t="shared" si="61"/>
        <v>-1</v>
      </c>
      <c r="L59" s="1">
        <f t="shared" si="61"/>
        <v>-1</v>
      </c>
      <c r="M59" s="1">
        <f t="shared" si="61"/>
        <v>-1</v>
      </c>
      <c r="N59" s="1">
        <f t="shared" si="61"/>
        <v>0</v>
      </c>
      <c r="O59" s="1">
        <f t="shared" si="61"/>
        <v>0</v>
      </c>
      <c r="P59" s="1">
        <f t="shared" si="61"/>
        <v>-2</v>
      </c>
      <c r="Q59" s="1">
        <f t="shared" si="61"/>
        <v>-1</v>
      </c>
      <c r="R59" s="1">
        <f t="shared" si="61"/>
        <v>-1</v>
      </c>
      <c r="S59" s="1">
        <f t="shared" si="61"/>
        <v>-2</v>
      </c>
      <c r="T59" s="1">
        <f t="shared" si="61"/>
        <v>3</v>
      </c>
      <c r="U59" s="8">
        <f t="shared" si="58"/>
        <v>-9</v>
      </c>
    </row>
    <row r="60" spans="1:22" x14ac:dyDescent="0.2">
      <c r="A60" s="34" t="s">
        <v>8</v>
      </c>
      <c r="B60" s="36">
        <f t="shared" si="55"/>
        <v>6</v>
      </c>
      <c r="C60" s="11">
        <f t="shared" si="56"/>
        <v>-1</v>
      </c>
      <c r="D60" s="1">
        <f t="shared" ref="D60:T60" si="62">IF(D48=-4,12)+(IF(D48=-3,8))+(IF(D48=-2,5))+(IF(D48=-1,3))+(IF(D48=0,0))+(IF(D48=1,-1))+(IF(D48&gt;=2,-2))</f>
        <v>3</v>
      </c>
      <c r="E60" s="1">
        <f t="shared" si="62"/>
        <v>-2</v>
      </c>
      <c r="F60" s="1">
        <f t="shared" si="62"/>
        <v>0</v>
      </c>
      <c r="G60" s="1">
        <f t="shared" si="62"/>
        <v>0</v>
      </c>
      <c r="H60" s="1">
        <f t="shared" si="62"/>
        <v>0</v>
      </c>
      <c r="I60" s="1">
        <f t="shared" si="62"/>
        <v>-2</v>
      </c>
      <c r="J60" s="1">
        <f t="shared" si="62"/>
        <v>-1</v>
      </c>
      <c r="K60" s="1">
        <f t="shared" si="62"/>
        <v>-1</v>
      </c>
      <c r="L60" s="1">
        <f t="shared" si="62"/>
        <v>-1</v>
      </c>
      <c r="M60" s="1">
        <f t="shared" si="62"/>
        <v>-1</v>
      </c>
      <c r="N60" s="1">
        <f t="shared" si="62"/>
        <v>0</v>
      </c>
      <c r="O60" s="1">
        <f t="shared" si="62"/>
        <v>0</v>
      </c>
      <c r="P60" s="1">
        <f t="shared" si="62"/>
        <v>-1</v>
      </c>
      <c r="Q60" s="1">
        <f t="shared" si="62"/>
        <v>-1</v>
      </c>
      <c r="R60" s="1">
        <f t="shared" si="62"/>
        <v>-1</v>
      </c>
      <c r="S60" s="1">
        <f t="shared" si="62"/>
        <v>-2</v>
      </c>
      <c r="T60" s="1">
        <f t="shared" si="62"/>
        <v>3</v>
      </c>
      <c r="U60" s="8">
        <f t="shared" si="58"/>
        <v>-8</v>
      </c>
    </row>
    <row r="61" spans="1:22" x14ac:dyDescent="0.2">
      <c r="A61" s="34" t="s">
        <v>9</v>
      </c>
      <c r="B61" s="36">
        <f t="shared" si="55"/>
        <v>7</v>
      </c>
      <c r="C61" s="11">
        <f t="shared" si="56"/>
        <v>-1</v>
      </c>
      <c r="D61" s="1">
        <f t="shared" ref="D61:T61" si="63">IF(D49=-4,12)+(IF(D49=-3,8))+(IF(D49=-2,5))+(IF(D49=-1,3))+(IF(D49=0,0))+(IF(D49=1,-1))+(IF(D49&gt;=2,-2))</f>
        <v>3</v>
      </c>
      <c r="E61" s="1">
        <f t="shared" si="63"/>
        <v>-2</v>
      </c>
      <c r="F61" s="1">
        <f t="shared" si="63"/>
        <v>0</v>
      </c>
      <c r="G61" s="1">
        <f t="shared" si="63"/>
        <v>0</v>
      </c>
      <c r="H61" s="1">
        <f t="shared" si="63"/>
        <v>0</v>
      </c>
      <c r="I61" s="1">
        <f t="shared" si="63"/>
        <v>-2</v>
      </c>
      <c r="J61" s="1">
        <f t="shared" si="63"/>
        <v>-1</v>
      </c>
      <c r="K61" s="1">
        <f t="shared" si="63"/>
        <v>0</v>
      </c>
      <c r="L61" s="1">
        <f t="shared" si="63"/>
        <v>-1</v>
      </c>
      <c r="M61" s="1">
        <f t="shared" si="63"/>
        <v>-1</v>
      </c>
      <c r="N61" s="1">
        <f t="shared" si="63"/>
        <v>0</v>
      </c>
      <c r="O61" s="1">
        <f t="shared" si="63"/>
        <v>0</v>
      </c>
      <c r="P61" s="1">
        <f t="shared" si="63"/>
        <v>-1</v>
      </c>
      <c r="Q61" s="1">
        <f t="shared" si="63"/>
        <v>-1</v>
      </c>
      <c r="R61" s="1">
        <f t="shared" si="63"/>
        <v>-1</v>
      </c>
      <c r="S61" s="1">
        <f t="shared" si="63"/>
        <v>-2</v>
      </c>
      <c r="T61" s="1">
        <f t="shared" si="63"/>
        <v>3</v>
      </c>
      <c r="U61" s="8">
        <f t="shared" si="58"/>
        <v>-7</v>
      </c>
    </row>
    <row r="62" spans="1:22" x14ac:dyDescent="0.2">
      <c r="A62" s="37" t="s">
        <v>10</v>
      </c>
      <c r="B62" s="38">
        <f t="shared" si="55"/>
        <v>8</v>
      </c>
      <c r="C62" s="5">
        <f t="shared" si="56"/>
        <v>-1</v>
      </c>
      <c r="D62" s="6">
        <f t="shared" ref="D62:T62" si="64">IF(D50=-4,12)+(IF(D50=-3,8))+(IF(D50=-2,5))+(IF(D50=-1,3))+(IF(D50=0,0))+(IF(D50=1,-1))+(IF(D50&gt;=2,-2))</f>
        <v>3</v>
      </c>
      <c r="E62" s="6">
        <f t="shared" si="64"/>
        <v>-2</v>
      </c>
      <c r="F62" s="6">
        <f t="shared" si="64"/>
        <v>0</v>
      </c>
      <c r="G62" s="6">
        <f t="shared" si="64"/>
        <v>0</v>
      </c>
      <c r="H62" s="6">
        <f t="shared" si="64"/>
        <v>0</v>
      </c>
      <c r="I62" s="6">
        <f t="shared" si="64"/>
        <v>-2</v>
      </c>
      <c r="J62" s="6">
        <f t="shared" si="64"/>
        <v>-1</v>
      </c>
      <c r="K62" s="6">
        <f t="shared" si="64"/>
        <v>0</v>
      </c>
      <c r="L62" s="6">
        <f t="shared" si="64"/>
        <v>0</v>
      </c>
      <c r="M62" s="6">
        <f t="shared" si="64"/>
        <v>-1</v>
      </c>
      <c r="N62" s="6">
        <f t="shared" si="64"/>
        <v>0</v>
      </c>
      <c r="O62" s="6">
        <f t="shared" si="64"/>
        <v>0</v>
      </c>
      <c r="P62" s="6">
        <f t="shared" si="64"/>
        <v>-1</v>
      </c>
      <c r="Q62" s="6">
        <f t="shared" si="64"/>
        <v>-1</v>
      </c>
      <c r="R62" s="6">
        <f t="shared" si="64"/>
        <v>-1</v>
      </c>
      <c r="S62" s="6">
        <f t="shared" si="64"/>
        <v>-2</v>
      </c>
      <c r="T62" s="6">
        <f t="shared" si="64"/>
        <v>3</v>
      </c>
      <c r="U62" s="7">
        <f t="shared" si="58"/>
        <v>-6</v>
      </c>
    </row>
  </sheetData>
  <mergeCells count="4">
    <mergeCell ref="Y1:AG2"/>
    <mergeCell ref="A1:C1"/>
    <mergeCell ref="E1:Q1"/>
    <mergeCell ref="E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E67D-6B31-744F-80CE-39CA91FAE422}">
  <dimension ref="A2:W81"/>
  <sheetViews>
    <sheetView topLeftCell="A65" zoomScale="94" workbookViewId="0">
      <selection activeCell="K77" sqref="K77"/>
    </sheetView>
  </sheetViews>
  <sheetFormatPr baseColWidth="10" defaultColWidth="8.83203125" defaultRowHeight="15" x14ac:dyDescent="0.2"/>
  <cols>
    <col min="1" max="1" width="31.83203125" customWidth="1"/>
    <col min="2" max="2" width="10.1640625" customWidth="1"/>
    <col min="7" max="7" width="10" customWidth="1"/>
  </cols>
  <sheetData>
    <row r="2" spans="1:4" x14ac:dyDescent="0.2">
      <c r="A2" t="s">
        <v>82</v>
      </c>
    </row>
    <row r="3" spans="1:4" x14ac:dyDescent="0.2">
      <c r="A3" s="80"/>
      <c r="B3" s="81" t="s">
        <v>28</v>
      </c>
      <c r="C3" s="81"/>
      <c r="D3" s="82"/>
    </row>
    <row r="4" spans="1:4" x14ac:dyDescent="0.2">
      <c r="A4" s="83"/>
      <c r="D4" s="84"/>
    </row>
    <row r="5" spans="1:4" x14ac:dyDescent="0.2">
      <c r="A5" s="83"/>
      <c r="D5" s="84"/>
    </row>
    <row r="6" spans="1:4" x14ac:dyDescent="0.2">
      <c r="A6" s="111" t="s">
        <v>30</v>
      </c>
      <c r="B6" t="s">
        <v>29</v>
      </c>
      <c r="C6" t="s">
        <v>31</v>
      </c>
      <c r="D6" s="84" t="s">
        <v>32</v>
      </c>
    </row>
    <row r="7" spans="1:4" x14ac:dyDescent="0.2">
      <c r="A7" s="83">
        <f>'RND 4 STBL'!AD14</f>
        <v>1</v>
      </c>
      <c r="B7" t="str">
        <f>'RND 4 STBL'!AE14</f>
        <v>BELLIS</v>
      </c>
      <c r="C7">
        <f>'RND 4 STBL'!AF14</f>
        <v>37</v>
      </c>
      <c r="D7" s="84">
        <f>'RND 4 STBL'!AG14</f>
        <v>24</v>
      </c>
    </row>
    <row r="8" spans="1:4" x14ac:dyDescent="0.2">
      <c r="A8" s="83">
        <f>'RND 4 STBL'!AD15</f>
        <v>2</v>
      </c>
      <c r="B8" t="str">
        <f>'RND 4 STBL'!AE15</f>
        <v>DEY</v>
      </c>
      <c r="C8">
        <f>'RND 4 STBL'!AF15</f>
        <v>36</v>
      </c>
      <c r="D8" s="84">
        <f>'RND 4 STBL'!AG15</f>
        <v>21</v>
      </c>
    </row>
    <row r="9" spans="1:4" x14ac:dyDescent="0.2">
      <c r="A9" s="83">
        <f>'RND 4 STBL'!AD16</f>
        <v>3</v>
      </c>
      <c r="B9" t="str">
        <f>'RND 4 STBL'!AE16</f>
        <v>DONOVAN</v>
      </c>
      <c r="C9">
        <f>'RND 4 STBL'!AF16</f>
        <v>35</v>
      </c>
      <c r="D9" s="84">
        <f>'RND 4 STBL'!AG16</f>
        <v>10.5</v>
      </c>
    </row>
    <row r="10" spans="1:4" x14ac:dyDescent="0.2">
      <c r="A10" s="83">
        <f>'RND 4 STBL'!AD17</f>
        <v>4</v>
      </c>
      <c r="B10" t="str">
        <f>'RND 4 STBL'!AE17</f>
        <v>FINDLAY</v>
      </c>
      <c r="C10">
        <f>'RND 4 STBL'!AF17</f>
        <v>35</v>
      </c>
      <c r="D10" s="84">
        <f>'RND 4 STBL'!AG17</f>
        <v>10.5</v>
      </c>
    </row>
    <row r="11" spans="1:4" x14ac:dyDescent="0.2">
      <c r="A11" s="83">
        <f>'RND 4 STBL'!AD18</f>
        <v>5</v>
      </c>
      <c r="B11" t="str">
        <f>'RND 4 STBL'!AE18</f>
        <v>HOLLANDS</v>
      </c>
      <c r="C11">
        <f>'RND 4 STBL'!AF18</f>
        <v>35</v>
      </c>
      <c r="D11" s="84">
        <f>'RND 4 STBL'!AG18</f>
        <v>10.5</v>
      </c>
    </row>
    <row r="12" spans="1:4" x14ac:dyDescent="0.2">
      <c r="A12" s="83">
        <f>'RND 4 STBL'!AD19</f>
        <v>6</v>
      </c>
      <c r="B12" t="str">
        <f>'RND 4 STBL'!AE19</f>
        <v>LAING</v>
      </c>
      <c r="C12">
        <f>'RND 4 STBL'!AF19</f>
        <v>35</v>
      </c>
      <c r="D12" s="84">
        <f>'RND 4 STBL'!AG19</f>
        <v>10.5</v>
      </c>
    </row>
    <row r="13" spans="1:4" x14ac:dyDescent="0.2">
      <c r="A13" s="83">
        <f>'RND 4 STBL'!AD20</f>
        <v>7</v>
      </c>
      <c r="B13" t="str">
        <f>'RND 4 STBL'!AE20</f>
        <v>REILLY</v>
      </c>
      <c r="C13">
        <f>'RND 4 STBL'!AF20</f>
        <v>35</v>
      </c>
      <c r="D13" s="84">
        <f>'RND 4 STBL'!AG20</f>
        <v>10.5</v>
      </c>
    </row>
    <row r="14" spans="1:4" x14ac:dyDescent="0.2">
      <c r="A14" s="83">
        <f>'RND 4 STBL'!AD21</f>
        <v>8</v>
      </c>
      <c r="B14" t="str">
        <f>'RND 4 STBL'!AE21</f>
        <v>STONES</v>
      </c>
      <c r="C14">
        <f>'RND 4 STBL'!AF21</f>
        <v>35</v>
      </c>
      <c r="D14" s="84">
        <f>'RND 4 STBL'!AG21</f>
        <v>10.5</v>
      </c>
    </row>
    <row r="15" spans="1:4" x14ac:dyDescent="0.2">
      <c r="A15" s="85"/>
      <c r="B15" s="86"/>
      <c r="C15" s="86"/>
      <c r="D15" s="87"/>
    </row>
    <row r="21" spans="1:23" x14ac:dyDescent="0.2">
      <c r="A21" t="s">
        <v>13</v>
      </c>
    </row>
    <row r="22" spans="1:23" x14ac:dyDescent="0.2">
      <c r="A22" s="80" t="s">
        <v>1</v>
      </c>
      <c r="B22" s="77" t="s">
        <v>15</v>
      </c>
      <c r="D22" s="96" t="s">
        <v>25</v>
      </c>
      <c r="E22" s="92">
        <v>1</v>
      </c>
      <c r="F22" s="92">
        <v>2</v>
      </c>
      <c r="G22" s="92">
        <v>3</v>
      </c>
      <c r="H22" s="92">
        <v>4</v>
      </c>
      <c r="I22" s="92">
        <v>5</v>
      </c>
      <c r="J22" s="92">
        <v>6</v>
      </c>
      <c r="K22" s="92">
        <v>7</v>
      </c>
      <c r="L22" s="92">
        <v>8</v>
      </c>
      <c r="M22" s="92">
        <v>9</v>
      </c>
      <c r="N22" s="92">
        <v>10</v>
      </c>
      <c r="O22" s="92">
        <v>11</v>
      </c>
      <c r="P22" s="92">
        <v>12</v>
      </c>
      <c r="Q22" s="92">
        <v>13</v>
      </c>
      <c r="R22" s="92">
        <v>14</v>
      </c>
      <c r="S22" s="92">
        <v>15</v>
      </c>
      <c r="T22" s="92">
        <v>16</v>
      </c>
      <c r="U22" s="92">
        <v>17</v>
      </c>
      <c r="V22" s="92">
        <v>18</v>
      </c>
      <c r="W22" s="88" t="s">
        <v>2</v>
      </c>
    </row>
    <row r="23" spans="1:23" ht="19" x14ac:dyDescent="0.25">
      <c r="A23" s="83"/>
      <c r="B23" s="78"/>
      <c r="D23" s="94" t="s">
        <v>23</v>
      </c>
      <c r="E23" s="93">
        <f>'RND 1 STBL'!C5</f>
        <v>4</v>
      </c>
      <c r="F23" s="93">
        <f>'RND 1 STBL'!D5</f>
        <v>3</v>
      </c>
      <c r="G23" s="93">
        <f>'RND 1 STBL'!E5</f>
        <v>4</v>
      </c>
      <c r="H23" s="93">
        <f>'RND 1 STBL'!F5</f>
        <v>4</v>
      </c>
      <c r="I23" s="93">
        <f>'RND 1 STBL'!G5</f>
        <v>4</v>
      </c>
      <c r="J23" s="93">
        <f>'RND 1 STBL'!H5</f>
        <v>4</v>
      </c>
      <c r="K23" s="93">
        <f>'RND 1 STBL'!I5</f>
        <v>4</v>
      </c>
      <c r="L23" s="93">
        <f>'RND 1 STBL'!J5</f>
        <v>3</v>
      </c>
      <c r="M23" s="93">
        <f>'RND 1 STBL'!K5</f>
        <v>5</v>
      </c>
      <c r="N23" s="93">
        <f>'RND 1 STBL'!L5</f>
        <v>5</v>
      </c>
      <c r="O23" s="93">
        <f>'RND 1 STBL'!M5</f>
        <v>4</v>
      </c>
      <c r="P23" s="93">
        <f>'RND 1 STBL'!N5</f>
        <v>3</v>
      </c>
      <c r="Q23" s="93">
        <f>'RND 1 STBL'!O5</f>
        <v>5</v>
      </c>
      <c r="R23" s="93">
        <f>'RND 1 STBL'!P5</f>
        <v>4</v>
      </c>
      <c r="S23" s="93">
        <f>'RND 1 STBL'!Q5</f>
        <v>5</v>
      </c>
      <c r="T23" s="93">
        <f>'RND 1 STBL'!R5</f>
        <v>4</v>
      </c>
      <c r="U23" s="93">
        <f>'RND 1 STBL'!S5</f>
        <v>3</v>
      </c>
      <c r="V23" s="93">
        <f>'RND 1 STBL'!T5</f>
        <v>4</v>
      </c>
      <c r="W23" s="88"/>
    </row>
    <row r="24" spans="1:23" x14ac:dyDescent="0.2">
      <c r="A24" s="83"/>
      <c r="B24" s="78"/>
      <c r="D24" s="94" t="s">
        <v>24</v>
      </c>
      <c r="E24" s="95">
        <f>'RND 1 STBL'!C6</f>
        <v>9</v>
      </c>
      <c r="F24" s="95">
        <f>'RND 1 STBL'!D6</f>
        <v>13</v>
      </c>
      <c r="G24" s="95">
        <f>'RND 1 STBL'!E6</f>
        <v>5</v>
      </c>
      <c r="H24" s="95">
        <f>'RND 1 STBL'!F6</f>
        <v>1</v>
      </c>
      <c r="I24" s="95">
        <f>'RND 1 STBL'!G6</f>
        <v>11</v>
      </c>
      <c r="J24" s="95">
        <f>'RND 1 STBL'!H6</f>
        <v>15</v>
      </c>
      <c r="K24" s="95">
        <f>'RND 1 STBL'!I6</f>
        <v>7</v>
      </c>
      <c r="L24" s="95">
        <f>'RND 1 STBL'!J6</f>
        <v>17</v>
      </c>
      <c r="M24" s="95">
        <f>'RND 1 STBL'!K6</f>
        <v>3</v>
      </c>
      <c r="N24" s="95">
        <f>'RND 1 STBL'!L6</f>
        <v>4</v>
      </c>
      <c r="O24" s="95">
        <f>'RND 1 STBL'!M6</f>
        <v>14</v>
      </c>
      <c r="P24" s="95">
        <f>'RND 1 STBL'!N6</f>
        <v>16</v>
      </c>
      <c r="Q24" s="95">
        <f>'RND 1 STBL'!O6</f>
        <v>10</v>
      </c>
      <c r="R24" s="95">
        <f>'RND 1 STBL'!P6</f>
        <v>6</v>
      </c>
      <c r="S24" s="95">
        <f>'RND 1 STBL'!Q6</f>
        <v>8</v>
      </c>
      <c r="T24" s="95">
        <f>'RND 1 STBL'!R6</f>
        <v>12</v>
      </c>
      <c r="U24" s="95">
        <f>'RND 1 STBL'!S6</f>
        <v>18</v>
      </c>
      <c r="V24" s="95">
        <f>'RND 1 STBL'!T6</f>
        <v>2</v>
      </c>
      <c r="W24" s="88"/>
    </row>
    <row r="25" spans="1:23" x14ac:dyDescent="0.2">
      <c r="B25" s="78"/>
      <c r="D25" s="8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89"/>
    </row>
    <row r="26" spans="1:23" x14ac:dyDescent="0.2">
      <c r="A26" s="83" t="str">
        <f>'RND 4 STBL'!A7</f>
        <v>BELLIS</v>
      </c>
      <c r="B26" s="78">
        <f>'RND 4 STBL'!B7</f>
        <v>18</v>
      </c>
      <c r="D26" s="83"/>
      <c r="E26" s="1">
        <f>'RND 4 STBL'!C7</f>
        <v>4</v>
      </c>
      <c r="F26" s="1">
        <f>'RND 4 STBL'!D7</f>
        <v>5</v>
      </c>
      <c r="G26" s="1">
        <f>'RND 4 STBL'!E7</f>
        <v>5</v>
      </c>
      <c r="H26" s="1">
        <f>'RND 4 STBL'!F7</f>
        <v>5</v>
      </c>
      <c r="I26" s="1">
        <f>'RND 4 STBL'!G7</f>
        <v>5</v>
      </c>
      <c r="J26" s="1">
        <f>'RND 4 STBL'!H7</f>
        <v>5</v>
      </c>
      <c r="K26" s="1">
        <f>'RND 4 STBL'!I7</f>
        <v>5</v>
      </c>
      <c r="L26" s="1">
        <f>'RND 4 STBL'!J7</f>
        <v>5</v>
      </c>
      <c r="M26" s="1">
        <f>'RND 4 STBL'!K7</f>
        <v>5</v>
      </c>
      <c r="N26" s="1">
        <f>'RND 4 STBL'!L7</f>
        <v>5</v>
      </c>
      <c r="O26" s="1">
        <f>'RND 4 STBL'!M7</f>
        <v>5</v>
      </c>
      <c r="P26" s="1">
        <f>'RND 4 STBL'!N7</f>
        <v>5</v>
      </c>
      <c r="Q26" s="1">
        <f>'RND 4 STBL'!O7</f>
        <v>5</v>
      </c>
      <c r="R26" s="1">
        <f>'RND 4 STBL'!P7</f>
        <v>5</v>
      </c>
      <c r="S26" s="1">
        <f>'RND 4 STBL'!Q7</f>
        <v>5</v>
      </c>
      <c r="T26" s="1">
        <f>'RND 4 STBL'!R7</f>
        <v>5</v>
      </c>
      <c r="U26" s="1">
        <f>'RND 4 STBL'!S7</f>
        <v>5</v>
      </c>
      <c r="V26" s="1">
        <f>'RND 4 STBL'!T7</f>
        <v>5</v>
      </c>
      <c r="W26" s="89">
        <f>'RND 4 STBL'!U7</f>
        <v>89</v>
      </c>
    </row>
    <row r="27" spans="1:23" x14ac:dyDescent="0.2">
      <c r="A27" s="83" t="str">
        <f>'RND 4 STBL'!A8</f>
        <v>DEY</v>
      </c>
      <c r="B27" s="78">
        <f>'RND 4 STBL'!B8</f>
        <v>18</v>
      </c>
      <c r="D27" s="83"/>
      <c r="E27" s="1">
        <f>'RND 4 STBL'!C8</f>
        <v>5</v>
      </c>
      <c r="F27" s="1">
        <f>'RND 4 STBL'!D8</f>
        <v>5</v>
      </c>
      <c r="G27" s="1">
        <f>'RND 4 STBL'!E8</f>
        <v>5</v>
      </c>
      <c r="H27" s="1">
        <f>'RND 4 STBL'!F8</f>
        <v>5</v>
      </c>
      <c r="I27" s="1">
        <f>'RND 4 STBL'!G8</f>
        <v>5</v>
      </c>
      <c r="J27" s="1">
        <f>'RND 4 STBL'!H8</f>
        <v>5</v>
      </c>
      <c r="K27" s="1">
        <f>'RND 4 STBL'!I8</f>
        <v>5</v>
      </c>
      <c r="L27" s="1">
        <f>'RND 4 STBL'!J8</f>
        <v>5</v>
      </c>
      <c r="M27" s="1">
        <f>'RND 4 STBL'!K8</f>
        <v>5</v>
      </c>
      <c r="N27" s="1">
        <f>'RND 4 STBL'!L8</f>
        <v>5</v>
      </c>
      <c r="O27" s="1">
        <f>'RND 4 STBL'!M8</f>
        <v>5</v>
      </c>
      <c r="P27" s="1">
        <f>'RND 4 STBL'!N8</f>
        <v>5</v>
      </c>
      <c r="Q27" s="1">
        <f>'RND 4 STBL'!O8</f>
        <v>5</v>
      </c>
      <c r="R27" s="1">
        <f>'RND 4 STBL'!P8</f>
        <v>5</v>
      </c>
      <c r="S27" s="1">
        <f>'RND 4 STBL'!Q8</f>
        <v>5</v>
      </c>
      <c r="T27" s="1">
        <f>'RND 4 STBL'!R8</f>
        <v>5</v>
      </c>
      <c r="U27" s="1">
        <f>'RND 4 STBL'!S8</f>
        <v>5</v>
      </c>
      <c r="V27" s="1">
        <f>'RND 4 STBL'!T8</f>
        <v>5</v>
      </c>
      <c r="W27" s="89">
        <f>'RND 4 STBL'!U8</f>
        <v>90</v>
      </c>
    </row>
    <row r="28" spans="1:23" x14ac:dyDescent="0.2">
      <c r="A28" s="83" t="str">
        <f>'RND 4 STBL'!A9</f>
        <v>DONOVAN</v>
      </c>
      <c r="B28" s="78">
        <f>'RND 4 STBL'!B9</f>
        <v>18</v>
      </c>
      <c r="D28" s="83"/>
      <c r="E28" s="1">
        <f>'RND 4 STBL'!C9</f>
        <v>6</v>
      </c>
      <c r="F28" s="1">
        <f>'RND 4 STBL'!D9</f>
        <v>5</v>
      </c>
      <c r="G28" s="1">
        <f>'RND 4 STBL'!E9</f>
        <v>5</v>
      </c>
      <c r="H28" s="1">
        <f>'RND 4 STBL'!F9</f>
        <v>5</v>
      </c>
      <c r="I28" s="1">
        <f>'RND 4 STBL'!G9</f>
        <v>5</v>
      </c>
      <c r="J28" s="1">
        <f>'RND 4 STBL'!H9</f>
        <v>5</v>
      </c>
      <c r="K28" s="1">
        <f>'RND 4 STBL'!I9</f>
        <v>5</v>
      </c>
      <c r="L28" s="1">
        <f>'RND 4 STBL'!J9</f>
        <v>5</v>
      </c>
      <c r="M28" s="1">
        <f>'RND 4 STBL'!K9</f>
        <v>5</v>
      </c>
      <c r="N28" s="1">
        <f>'RND 4 STBL'!L9</f>
        <v>5</v>
      </c>
      <c r="O28" s="1">
        <f>'RND 4 STBL'!M9</f>
        <v>5</v>
      </c>
      <c r="P28" s="1">
        <f>'RND 4 STBL'!N9</f>
        <v>5</v>
      </c>
      <c r="Q28" s="1">
        <f>'RND 4 STBL'!O9</f>
        <v>5</v>
      </c>
      <c r="R28" s="1">
        <f>'RND 4 STBL'!P9</f>
        <v>5</v>
      </c>
      <c r="S28" s="1">
        <f>'RND 4 STBL'!Q9</f>
        <v>5</v>
      </c>
      <c r="T28" s="1">
        <f>'RND 4 STBL'!R9</f>
        <v>5</v>
      </c>
      <c r="U28" s="1">
        <f>'RND 4 STBL'!S9</f>
        <v>5</v>
      </c>
      <c r="V28" s="1">
        <f>'RND 4 STBL'!T9</f>
        <v>5</v>
      </c>
      <c r="W28" s="89">
        <f>'RND 4 STBL'!U9</f>
        <v>91</v>
      </c>
    </row>
    <row r="29" spans="1:23" x14ac:dyDescent="0.2">
      <c r="A29" s="83" t="str">
        <f>'RND 4 STBL'!A10</f>
        <v>FINDLAY</v>
      </c>
      <c r="B29" s="78">
        <f>'RND 4 STBL'!B10</f>
        <v>18</v>
      </c>
      <c r="D29" s="83"/>
      <c r="E29" s="1">
        <f>'RND 4 STBL'!C10</f>
        <v>7</v>
      </c>
      <c r="F29" s="1">
        <f>'RND 4 STBL'!D10</f>
        <v>5</v>
      </c>
      <c r="G29" s="1">
        <f>'RND 4 STBL'!E10</f>
        <v>5</v>
      </c>
      <c r="H29" s="1">
        <f>'RND 4 STBL'!F10</f>
        <v>5</v>
      </c>
      <c r="I29" s="1">
        <f>'RND 4 STBL'!G10</f>
        <v>5</v>
      </c>
      <c r="J29" s="1">
        <f>'RND 4 STBL'!H10</f>
        <v>5</v>
      </c>
      <c r="K29" s="1">
        <f>'RND 4 STBL'!I10</f>
        <v>5</v>
      </c>
      <c r="L29" s="1">
        <f>'RND 4 STBL'!J10</f>
        <v>5</v>
      </c>
      <c r="M29" s="1">
        <f>'RND 4 STBL'!K10</f>
        <v>5</v>
      </c>
      <c r="N29" s="1">
        <f>'RND 4 STBL'!L10</f>
        <v>5</v>
      </c>
      <c r="O29" s="1">
        <f>'RND 4 STBL'!M10</f>
        <v>5</v>
      </c>
      <c r="P29" s="1">
        <f>'RND 4 STBL'!N10</f>
        <v>5</v>
      </c>
      <c r="Q29" s="1">
        <f>'RND 4 STBL'!O10</f>
        <v>5</v>
      </c>
      <c r="R29" s="1">
        <f>'RND 4 STBL'!P10</f>
        <v>5</v>
      </c>
      <c r="S29" s="1">
        <f>'RND 4 STBL'!Q10</f>
        <v>5</v>
      </c>
      <c r="T29" s="1">
        <f>'RND 4 STBL'!R10</f>
        <v>5</v>
      </c>
      <c r="U29" s="1">
        <f>'RND 4 STBL'!S10</f>
        <v>5</v>
      </c>
      <c r="V29" s="1">
        <f>'RND 4 STBL'!T10</f>
        <v>5</v>
      </c>
      <c r="W29" s="89">
        <f>'RND 4 STBL'!U10</f>
        <v>92</v>
      </c>
    </row>
    <row r="30" spans="1:23" x14ac:dyDescent="0.2">
      <c r="A30" s="83" t="str">
        <f>'RND 4 STBL'!A11</f>
        <v>HOLLANDS</v>
      </c>
      <c r="B30" s="78">
        <f>'RND 4 STBL'!B11</f>
        <v>18</v>
      </c>
      <c r="D30" s="83"/>
      <c r="E30" s="1">
        <f>'RND 4 STBL'!C11</f>
        <v>8</v>
      </c>
      <c r="F30" s="1">
        <f>'RND 4 STBL'!D11</f>
        <v>5</v>
      </c>
      <c r="G30" s="1">
        <f>'RND 4 STBL'!E11</f>
        <v>5</v>
      </c>
      <c r="H30" s="1">
        <f>'RND 4 STBL'!F11</f>
        <v>5</v>
      </c>
      <c r="I30" s="1">
        <f>'RND 4 STBL'!G11</f>
        <v>5</v>
      </c>
      <c r="J30" s="1">
        <f>'RND 4 STBL'!H11</f>
        <v>5</v>
      </c>
      <c r="K30" s="1">
        <f>'RND 4 STBL'!I11</f>
        <v>5</v>
      </c>
      <c r="L30" s="1">
        <f>'RND 4 STBL'!J11</f>
        <v>5</v>
      </c>
      <c r="M30" s="1">
        <f>'RND 4 STBL'!K11</f>
        <v>5</v>
      </c>
      <c r="N30" s="1">
        <f>'RND 4 STBL'!L11</f>
        <v>5</v>
      </c>
      <c r="O30" s="1">
        <f>'RND 4 STBL'!M11</f>
        <v>5</v>
      </c>
      <c r="P30" s="1">
        <f>'RND 4 STBL'!N11</f>
        <v>5</v>
      </c>
      <c r="Q30" s="1">
        <f>'RND 4 STBL'!O11</f>
        <v>5</v>
      </c>
      <c r="R30" s="1">
        <f>'RND 4 STBL'!P11</f>
        <v>5</v>
      </c>
      <c r="S30" s="1">
        <f>'RND 4 STBL'!Q11</f>
        <v>5</v>
      </c>
      <c r="T30" s="1">
        <f>'RND 4 STBL'!R11</f>
        <v>5</v>
      </c>
      <c r="U30" s="1">
        <f>'RND 4 STBL'!S11</f>
        <v>5</v>
      </c>
      <c r="V30" s="1">
        <f>'RND 4 STBL'!T11</f>
        <v>5</v>
      </c>
      <c r="W30" s="89">
        <f>'RND 4 STBL'!U11</f>
        <v>93</v>
      </c>
    </row>
    <row r="31" spans="1:23" x14ac:dyDescent="0.2">
      <c r="A31" s="83" t="str">
        <f>'RND 4 STBL'!A12</f>
        <v>LAING</v>
      </c>
      <c r="B31" s="78">
        <f>'RND 4 STBL'!B12</f>
        <v>18</v>
      </c>
      <c r="D31" s="83"/>
      <c r="E31" s="1">
        <f>'RND 4 STBL'!C12</f>
        <v>9</v>
      </c>
      <c r="F31" s="1">
        <f>'RND 4 STBL'!D12</f>
        <v>5</v>
      </c>
      <c r="G31" s="1">
        <f>'RND 4 STBL'!E12</f>
        <v>5</v>
      </c>
      <c r="H31" s="1">
        <f>'RND 4 STBL'!F12</f>
        <v>5</v>
      </c>
      <c r="I31" s="1">
        <f>'RND 4 STBL'!G12</f>
        <v>5</v>
      </c>
      <c r="J31" s="1">
        <f>'RND 4 STBL'!H12</f>
        <v>5</v>
      </c>
      <c r="K31" s="1">
        <f>'RND 4 STBL'!I12</f>
        <v>5</v>
      </c>
      <c r="L31" s="1">
        <f>'RND 4 STBL'!J12</f>
        <v>5</v>
      </c>
      <c r="M31" s="1">
        <f>'RND 4 STBL'!K12</f>
        <v>5</v>
      </c>
      <c r="N31" s="1">
        <f>'RND 4 STBL'!L12</f>
        <v>5</v>
      </c>
      <c r="O31" s="1">
        <f>'RND 4 STBL'!M12</f>
        <v>5</v>
      </c>
      <c r="P31" s="1">
        <f>'RND 4 STBL'!N12</f>
        <v>5</v>
      </c>
      <c r="Q31" s="1">
        <f>'RND 4 STBL'!O12</f>
        <v>5</v>
      </c>
      <c r="R31" s="1">
        <f>'RND 4 STBL'!P12</f>
        <v>5</v>
      </c>
      <c r="S31" s="1">
        <f>'RND 4 STBL'!Q12</f>
        <v>5</v>
      </c>
      <c r="T31" s="1">
        <f>'RND 4 STBL'!R12</f>
        <v>5</v>
      </c>
      <c r="U31" s="1">
        <f>'RND 4 STBL'!S12</f>
        <v>5</v>
      </c>
      <c r="V31" s="1">
        <f>'RND 4 STBL'!T12</f>
        <v>5</v>
      </c>
      <c r="W31" s="89">
        <f>'RND 4 STBL'!U12</f>
        <v>94</v>
      </c>
    </row>
    <row r="32" spans="1:23" x14ac:dyDescent="0.2">
      <c r="A32" s="83" t="str">
        <f>'RND 4 STBL'!A13</f>
        <v>REILLY</v>
      </c>
      <c r="B32" s="78">
        <f>'RND 4 STBL'!B13</f>
        <v>18</v>
      </c>
      <c r="D32" s="83"/>
      <c r="E32" s="1">
        <f>'RND 4 STBL'!C13</f>
        <v>10</v>
      </c>
      <c r="F32" s="1">
        <f>'RND 4 STBL'!D13</f>
        <v>5</v>
      </c>
      <c r="G32" s="1">
        <f>'RND 4 STBL'!E13</f>
        <v>5</v>
      </c>
      <c r="H32" s="1">
        <f>'RND 4 STBL'!F13</f>
        <v>5</v>
      </c>
      <c r="I32" s="1">
        <f>'RND 4 STBL'!G13</f>
        <v>5</v>
      </c>
      <c r="J32" s="1">
        <f>'RND 4 STBL'!H13</f>
        <v>5</v>
      </c>
      <c r="K32" s="1">
        <f>'RND 4 STBL'!I13</f>
        <v>5</v>
      </c>
      <c r="L32" s="1">
        <f>'RND 4 STBL'!J13</f>
        <v>5</v>
      </c>
      <c r="M32" s="1">
        <f>'RND 4 STBL'!K13</f>
        <v>5</v>
      </c>
      <c r="N32" s="1">
        <f>'RND 4 STBL'!L13</f>
        <v>5</v>
      </c>
      <c r="O32" s="1">
        <f>'RND 4 STBL'!M13</f>
        <v>5</v>
      </c>
      <c r="P32" s="1">
        <f>'RND 4 STBL'!N13</f>
        <v>5</v>
      </c>
      <c r="Q32" s="1">
        <f>'RND 4 STBL'!O13</f>
        <v>5</v>
      </c>
      <c r="R32" s="1">
        <f>'RND 4 STBL'!P13</f>
        <v>5</v>
      </c>
      <c r="S32" s="1">
        <f>'RND 4 STBL'!Q13</f>
        <v>5</v>
      </c>
      <c r="T32" s="1">
        <f>'RND 4 STBL'!R13</f>
        <v>5</v>
      </c>
      <c r="U32" s="1">
        <f>'RND 4 STBL'!S13</f>
        <v>5</v>
      </c>
      <c r="V32" s="1">
        <f>'RND 4 STBL'!T13</f>
        <v>5</v>
      </c>
      <c r="W32" s="89">
        <f>'RND 4 STBL'!U13</f>
        <v>95</v>
      </c>
    </row>
    <row r="33" spans="1:23" x14ac:dyDescent="0.2">
      <c r="A33" s="85" t="str">
        <f>'RND 4 STBL'!A14</f>
        <v>STONES</v>
      </c>
      <c r="B33" s="79">
        <f>'RND 4 STBL'!B14</f>
        <v>18</v>
      </c>
      <c r="D33" s="85"/>
      <c r="E33" s="90">
        <f>'RND 4 STBL'!C14</f>
        <v>11</v>
      </c>
      <c r="F33" s="90">
        <f>'RND 4 STBL'!D14</f>
        <v>5</v>
      </c>
      <c r="G33" s="90">
        <f>'RND 4 STBL'!E14</f>
        <v>5</v>
      </c>
      <c r="H33" s="90">
        <f>'RND 4 STBL'!F14</f>
        <v>5</v>
      </c>
      <c r="I33" s="90">
        <f>'RND 4 STBL'!G14</f>
        <v>5</v>
      </c>
      <c r="J33" s="90">
        <f>'RND 4 STBL'!H14</f>
        <v>5</v>
      </c>
      <c r="K33" s="90">
        <f>'RND 4 STBL'!I14</f>
        <v>5</v>
      </c>
      <c r="L33" s="90">
        <f>'RND 4 STBL'!J14</f>
        <v>5</v>
      </c>
      <c r="M33" s="90">
        <f>'RND 4 STBL'!K14</f>
        <v>5</v>
      </c>
      <c r="N33" s="90">
        <f>'RND 4 STBL'!L14</f>
        <v>5</v>
      </c>
      <c r="O33" s="90">
        <f>'RND 4 STBL'!M14</f>
        <v>5</v>
      </c>
      <c r="P33" s="90">
        <f>'RND 4 STBL'!N14</f>
        <v>5</v>
      </c>
      <c r="Q33" s="90">
        <f>'RND 4 STBL'!O14</f>
        <v>5</v>
      </c>
      <c r="R33" s="90">
        <f>'RND 4 STBL'!P14</f>
        <v>5</v>
      </c>
      <c r="S33" s="90">
        <f>'RND 4 STBL'!Q14</f>
        <v>5</v>
      </c>
      <c r="T33" s="90">
        <f>'RND 4 STBL'!R14</f>
        <v>5</v>
      </c>
      <c r="U33" s="90">
        <f>'RND 4 STBL'!S14</f>
        <v>5</v>
      </c>
      <c r="V33" s="90">
        <f>'RND 4 STBL'!T14</f>
        <v>5</v>
      </c>
      <c r="W33" s="91">
        <f>'RND 4 STBL'!U14</f>
        <v>96</v>
      </c>
    </row>
    <row r="37" spans="1:23" x14ac:dyDescent="0.2">
      <c r="A37" t="s">
        <v>83</v>
      </c>
    </row>
    <row r="38" spans="1:23" x14ac:dyDescent="0.2">
      <c r="A38" s="80" t="s">
        <v>1</v>
      </c>
      <c r="B38" s="77" t="s">
        <v>15</v>
      </c>
      <c r="D38" s="96" t="s">
        <v>25</v>
      </c>
      <c r="E38" s="92">
        <v>1</v>
      </c>
      <c r="F38" s="92">
        <v>2</v>
      </c>
      <c r="G38" s="92">
        <v>3</v>
      </c>
      <c r="H38" s="92">
        <v>4</v>
      </c>
      <c r="I38" s="92">
        <v>5</v>
      </c>
      <c r="J38" s="92">
        <v>6</v>
      </c>
      <c r="K38" s="92">
        <v>7</v>
      </c>
      <c r="L38" s="92">
        <v>8</v>
      </c>
      <c r="M38" s="92">
        <v>9</v>
      </c>
      <c r="N38" s="92">
        <v>10</v>
      </c>
      <c r="O38" s="92">
        <v>11</v>
      </c>
      <c r="P38" s="92">
        <v>12</v>
      </c>
      <c r="Q38" s="92">
        <v>13</v>
      </c>
      <c r="R38" s="92">
        <v>14</v>
      </c>
      <c r="S38" s="92">
        <v>15</v>
      </c>
      <c r="T38" s="92">
        <v>16</v>
      </c>
      <c r="U38" s="92">
        <v>17</v>
      </c>
      <c r="V38" s="92">
        <v>18</v>
      </c>
      <c r="W38" s="88" t="s">
        <v>2</v>
      </c>
    </row>
    <row r="39" spans="1:23" ht="19" x14ac:dyDescent="0.25">
      <c r="A39" s="83"/>
      <c r="B39" s="78"/>
      <c r="D39" s="94" t="s">
        <v>23</v>
      </c>
      <c r="E39" s="93">
        <f>E23</f>
        <v>4</v>
      </c>
      <c r="F39" s="93">
        <f t="shared" ref="F39:V40" si="0">F23</f>
        <v>3</v>
      </c>
      <c r="G39" s="93">
        <f t="shared" si="0"/>
        <v>4</v>
      </c>
      <c r="H39" s="93">
        <f t="shared" si="0"/>
        <v>4</v>
      </c>
      <c r="I39" s="93">
        <f t="shared" si="0"/>
        <v>4</v>
      </c>
      <c r="J39" s="93">
        <f t="shared" si="0"/>
        <v>4</v>
      </c>
      <c r="K39" s="93">
        <f t="shared" si="0"/>
        <v>4</v>
      </c>
      <c r="L39" s="93">
        <f t="shared" si="0"/>
        <v>3</v>
      </c>
      <c r="M39" s="93">
        <f t="shared" si="0"/>
        <v>5</v>
      </c>
      <c r="N39" s="93">
        <f t="shared" si="0"/>
        <v>5</v>
      </c>
      <c r="O39" s="93">
        <f t="shared" si="0"/>
        <v>4</v>
      </c>
      <c r="P39" s="93">
        <f t="shared" si="0"/>
        <v>3</v>
      </c>
      <c r="Q39" s="93">
        <f t="shared" si="0"/>
        <v>5</v>
      </c>
      <c r="R39" s="93">
        <f t="shared" si="0"/>
        <v>4</v>
      </c>
      <c r="S39" s="93">
        <f t="shared" si="0"/>
        <v>5</v>
      </c>
      <c r="T39" s="93">
        <f t="shared" si="0"/>
        <v>4</v>
      </c>
      <c r="U39" s="93">
        <f t="shared" si="0"/>
        <v>3</v>
      </c>
      <c r="V39" s="93">
        <f t="shared" si="0"/>
        <v>4</v>
      </c>
      <c r="W39" s="88"/>
    </row>
    <row r="40" spans="1:23" x14ac:dyDescent="0.2">
      <c r="A40" s="83"/>
      <c r="B40" s="78"/>
      <c r="D40" s="94" t="s">
        <v>24</v>
      </c>
      <c r="E40" s="95">
        <f>E24</f>
        <v>9</v>
      </c>
      <c r="F40" s="95">
        <f t="shared" si="0"/>
        <v>13</v>
      </c>
      <c r="G40" s="95">
        <f t="shared" si="0"/>
        <v>5</v>
      </c>
      <c r="H40" s="95">
        <f t="shared" si="0"/>
        <v>1</v>
      </c>
      <c r="I40" s="95">
        <f t="shared" si="0"/>
        <v>11</v>
      </c>
      <c r="J40" s="95">
        <f t="shared" si="0"/>
        <v>15</v>
      </c>
      <c r="K40" s="95">
        <f t="shared" si="0"/>
        <v>7</v>
      </c>
      <c r="L40" s="95">
        <f t="shared" si="0"/>
        <v>17</v>
      </c>
      <c r="M40" s="95">
        <f t="shared" si="0"/>
        <v>3</v>
      </c>
      <c r="N40" s="95">
        <f t="shared" si="0"/>
        <v>4</v>
      </c>
      <c r="O40" s="95">
        <f t="shared" si="0"/>
        <v>14</v>
      </c>
      <c r="P40" s="95">
        <f t="shared" si="0"/>
        <v>16</v>
      </c>
      <c r="Q40" s="95">
        <f t="shared" si="0"/>
        <v>10</v>
      </c>
      <c r="R40" s="95">
        <f t="shared" si="0"/>
        <v>6</v>
      </c>
      <c r="S40" s="95">
        <f t="shared" si="0"/>
        <v>8</v>
      </c>
      <c r="T40" s="95">
        <f t="shared" si="0"/>
        <v>12</v>
      </c>
      <c r="U40" s="95">
        <f t="shared" si="0"/>
        <v>18</v>
      </c>
      <c r="V40" s="95">
        <f t="shared" si="0"/>
        <v>2</v>
      </c>
      <c r="W40" s="88"/>
    </row>
    <row r="41" spans="1:23" x14ac:dyDescent="0.2">
      <c r="B41" s="78"/>
      <c r="D41" s="8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89"/>
    </row>
    <row r="42" spans="1:23" x14ac:dyDescent="0.2">
      <c r="A42" s="83" t="str">
        <f>A26</f>
        <v>BELLIS</v>
      </c>
      <c r="B42" s="78">
        <f>B26</f>
        <v>18</v>
      </c>
      <c r="D42" s="83"/>
      <c r="E42" s="1">
        <f>'RND 4 STBL'!C55</f>
        <v>2</v>
      </c>
      <c r="F42" s="1">
        <f>'RND 4 STBL'!D55</f>
        <v>2</v>
      </c>
      <c r="G42" s="1">
        <f>'RND 4 STBL'!E55</f>
        <v>3</v>
      </c>
      <c r="H42" s="1">
        <f>'RND 4 STBL'!F55</f>
        <v>1</v>
      </c>
      <c r="I42" s="1">
        <f>'RND 4 STBL'!G55</f>
        <v>2</v>
      </c>
      <c r="J42" s="1">
        <f>'RND 4 STBL'!H55</f>
        <v>3</v>
      </c>
      <c r="K42" s="1">
        <f>'RND 4 STBL'!I55</f>
        <v>2</v>
      </c>
      <c r="L42" s="1">
        <f>'RND 4 STBL'!J55</f>
        <v>2</v>
      </c>
      <c r="M42" s="1">
        <f>'RND 4 STBL'!K55</f>
        <v>2</v>
      </c>
      <c r="N42" s="1">
        <f>'RND 4 STBL'!L55</f>
        <v>1</v>
      </c>
      <c r="O42" s="1">
        <f>'RND 4 STBL'!M55</f>
        <v>2</v>
      </c>
      <c r="P42" s="1">
        <f>'RND 4 STBL'!N55</f>
        <v>3</v>
      </c>
      <c r="Q42" s="1">
        <f>'RND 4 STBL'!O55</f>
        <v>1</v>
      </c>
      <c r="R42" s="1">
        <f>'RND 4 STBL'!P55</f>
        <v>2</v>
      </c>
      <c r="S42" s="1">
        <f>'RND 4 STBL'!Q55</f>
        <v>3</v>
      </c>
      <c r="T42" s="1">
        <f>'RND 4 STBL'!R55</f>
        <v>2</v>
      </c>
      <c r="U42" s="1">
        <f>'RND 4 STBL'!S55</f>
        <v>2</v>
      </c>
      <c r="V42" s="1">
        <f>'RND 4 STBL'!T55</f>
        <v>2</v>
      </c>
      <c r="W42" s="89">
        <f>'RND 4 STBL'!U55</f>
        <v>37</v>
      </c>
    </row>
    <row r="43" spans="1:23" x14ac:dyDescent="0.2">
      <c r="A43" s="83" t="str">
        <f t="shared" ref="A43:B49" si="1">A27</f>
        <v>DEY</v>
      </c>
      <c r="B43" s="78">
        <f t="shared" si="1"/>
        <v>18</v>
      </c>
      <c r="D43" s="83"/>
      <c r="E43" s="1">
        <f>'RND 4 STBL'!C56</f>
        <v>1</v>
      </c>
      <c r="F43" s="1">
        <f>'RND 4 STBL'!D56</f>
        <v>2</v>
      </c>
      <c r="G43" s="1">
        <f>'RND 4 STBL'!E56</f>
        <v>3</v>
      </c>
      <c r="H43" s="1">
        <f>'RND 4 STBL'!F56</f>
        <v>1</v>
      </c>
      <c r="I43" s="1">
        <f>'RND 4 STBL'!G56</f>
        <v>2</v>
      </c>
      <c r="J43" s="1">
        <f>'RND 4 STBL'!H56</f>
        <v>3</v>
      </c>
      <c r="K43" s="1">
        <f>'RND 4 STBL'!I56</f>
        <v>2</v>
      </c>
      <c r="L43" s="1">
        <f>'RND 4 STBL'!J56</f>
        <v>2</v>
      </c>
      <c r="M43" s="1">
        <f>'RND 4 STBL'!K56</f>
        <v>2</v>
      </c>
      <c r="N43" s="1">
        <f>'RND 4 STBL'!L56</f>
        <v>1</v>
      </c>
      <c r="O43" s="1">
        <f>'RND 4 STBL'!M56</f>
        <v>2</v>
      </c>
      <c r="P43" s="1">
        <f>'RND 4 STBL'!N56</f>
        <v>3</v>
      </c>
      <c r="Q43" s="1">
        <f>'RND 4 STBL'!O56</f>
        <v>1</v>
      </c>
      <c r="R43" s="1">
        <f>'RND 4 STBL'!P56</f>
        <v>2</v>
      </c>
      <c r="S43" s="1">
        <f>'RND 4 STBL'!Q56</f>
        <v>3</v>
      </c>
      <c r="T43" s="1">
        <f>'RND 4 STBL'!R56</f>
        <v>2</v>
      </c>
      <c r="U43" s="1">
        <f>'RND 4 STBL'!S56</f>
        <v>2</v>
      </c>
      <c r="V43" s="1">
        <f>'RND 4 STBL'!T56</f>
        <v>2</v>
      </c>
      <c r="W43" s="89">
        <f>'RND 4 STBL'!U56</f>
        <v>36</v>
      </c>
    </row>
    <row r="44" spans="1:23" x14ac:dyDescent="0.2">
      <c r="A44" s="83" t="str">
        <f t="shared" si="1"/>
        <v>DONOVAN</v>
      </c>
      <c r="B44" s="78">
        <f t="shared" si="1"/>
        <v>18</v>
      </c>
      <c r="D44" s="83"/>
      <c r="E44" s="1">
        <f>'RND 4 STBL'!C57</f>
        <v>0</v>
      </c>
      <c r="F44" s="1">
        <f>'RND 4 STBL'!D57</f>
        <v>2</v>
      </c>
      <c r="G44" s="1">
        <f>'RND 4 STBL'!E57</f>
        <v>3</v>
      </c>
      <c r="H44" s="1">
        <f>'RND 4 STBL'!F57</f>
        <v>1</v>
      </c>
      <c r="I44" s="1">
        <f>'RND 4 STBL'!G57</f>
        <v>2</v>
      </c>
      <c r="J44" s="1">
        <f>'RND 4 STBL'!H57</f>
        <v>3</v>
      </c>
      <c r="K44" s="1">
        <f>'RND 4 STBL'!I57</f>
        <v>2</v>
      </c>
      <c r="L44" s="1">
        <f>'RND 4 STBL'!J57</f>
        <v>2</v>
      </c>
      <c r="M44" s="1">
        <f>'RND 4 STBL'!K57</f>
        <v>2</v>
      </c>
      <c r="N44" s="1">
        <f>'RND 4 STBL'!L57</f>
        <v>1</v>
      </c>
      <c r="O44" s="1">
        <f>'RND 4 STBL'!M57</f>
        <v>2</v>
      </c>
      <c r="P44" s="1">
        <f>'RND 4 STBL'!N57</f>
        <v>3</v>
      </c>
      <c r="Q44" s="1">
        <f>'RND 4 STBL'!O57</f>
        <v>1</v>
      </c>
      <c r="R44" s="1">
        <f>'RND 4 STBL'!P57</f>
        <v>2</v>
      </c>
      <c r="S44" s="1">
        <f>'RND 4 STBL'!Q57</f>
        <v>3</v>
      </c>
      <c r="T44" s="1">
        <f>'RND 4 STBL'!R57</f>
        <v>2</v>
      </c>
      <c r="U44" s="1">
        <f>'RND 4 STBL'!S57</f>
        <v>2</v>
      </c>
      <c r="V44" s="1">
        <f>'RND 4 STBL'!T57</f>
        <v>2</v>
      </c>
      <c r="W44" s="89">
        <f>'RND 4 STBL'!U57</f>
        <v>35</v>
      </c>
    </row>
    <row r="45" spans="1:23" x14ac:dyDescent="0.2">
      <c r="A45" s="83" t="str">
        <f t="shared" si="1"/>
        <v>FINDLAY</v>
      </c>
      <c r="B45" s="78">
        <f t="shared" si="1"/>
        <v>18</v>
      </c>
      <c r="D45" s="83"/>
      <c r="E45" s="1">
        <f>'RND 4 STBL'!C58</f>
        <v>0</v>
      </c>
      <c r="F45" s="1">
        <f>'RND 4 STBL'!D58</f>
        <v>2</v>
      </c>
      <c r="G45" s="1">
        <f>'RND 4 STBL'!E58</f>
        <v>3</v>
      </c>
      <c r="H45" s="1">
        <f>'RND 4 STBL'!F58</f>
        <v>1</v>
      </c>
      <c r="I45" s="1">
        <f>'RND 4 STBL'!G58</f>
        <v>2</v>
      </c>
      <c r="J45" s="1">
        <f>'RND 4 STBL'!H58</f>
        <v>3</v>
      </c>
      <c r="K45" s="1">
        <f>'RND 4 STBL'!I58</f>
        <v>2</v>
      </c>
      <c r="L45" s="1">
        <f>'RND 4 STBL'!J58</f>
        <v>2</v>
      </c>
      <c r="M45" s="1">
        <f>'RND 4 STBL'!K58</f>
        <v>2</v>
      </c>
      <c r="N45" s="1">
        <f>'RND 4 STBL'!L58</f>
        <v>1</v>
      </c>
      <c r="O45" s="1">
        <f>'RND 4 STBL'!M58</f>
        <v>2</v>
      </c>
      <c r="P45" s="1">
        <f>'RND 4 STBL'!N58</f>
        <v>3</v>
      </c>
      <c r="Q45" s="1">
        <f>'RND 4 STBL'!O58</f>
        <v>1</v>
      </c>
      <c r="R45" s="1">
        <f>'RND 4 STBL'!P58</f>
        <v>2</v>
      </c>
      <c r="S45" s="1">
        <f>'RND 4 STBL'!Q58</f>
        <v>3</v>
      </c>
      <c r="T45" s="1">
        <f>'RND 4 STBL'!R58</f>
        <v>2</v>
      </c>
      <c r="U45" s="1">
        <f>'RND 4 STBL'!S58</f>
        <v>2</v>
      </c>
      <c r="V45" s="1">
        <f>'RND 4 STBL'!T58</f>
        <v>2</v>
      </c>
      <c r="W45" s="89">
        <f>'RND 4 STBL'!U58</f>
        <v>35</v>
      </c>
    </row>
    <row r="46" spans="1:23" x14ac:dyDescent="0.2">
      <c r="A46" s="83" t="str">
        <f t="shared" si="1"/>
        <v>HOLLANDS</v>
      </c>
      <c r="B46" s="78">
        <f t="shared" si="1"/>
        <v>18</v>
      </c>
      <c r="D46" s="83"/>
      <c r="E46" s="1">
        <f>'RND 4 STBL'!C59</f>
        <v>0</v>
      </c>
      <c r="F46" s="1">
        <f>'RND 4 STBL'!D59</f>
        <v>2</v>
      </c>
      <c r="G46" s="1">
        <f>'RND 4 STBL'!E59</f>
        <v>3</v>
      </c>
      <c r="H46" s="1">
        <f>'RND 4 STBL'!F59</f>
        <v>1</v>
      </c>
      <c r="I46" s="1">
        <f>'RND 4 STBL'!G59</f>
        <v>2</v>
      </c>
      <c r="J46" s="1">
        <f>'RND 4 STBL'!H59</f>
        <v>3</v>
      </c>
      <c r="K46" s="1">
        <f>'RND 4 STBL'!I59</f>
        <v>2</v>
      </c>
      <c r="L46" s="1">
        <f>'RND 4 STBL'!J59</f>
        <v>2</v>
      </c>
      <c r="M46" s="1">
        <f>'RND 4 STBL'!K59</f>
        <v>2</v>
      </c>
      <c r="N46" s="1">
        <f>'RND 4 STBL'!L59</f>
        <v>1</v>
      </c>
      <c r="O46" s="1">
        <f>'RND 4 STBL'!M59</f>
        <v>2</v>
      </c>
      <c r="P46" s="1">
        <f>'RND 4 STBL'!N59</f>
        <v>3</v>
      </c>
      <c r="Q46" s="1">
        <f>'RND 4 STBL'!O59</f>
        <v>1</v>
      </c>
      <c r="R46" s="1">
        <f>'RND 4 STBL'!P59</f>
        <v>2</v>
      </c>
      <c r="S46" s="1">
        <f>'RND 4 STBL'!Q59</f>
        <v>3</v>
      </c>
      <c r="T46" s="1">
        <f>'RND 4 STBL'!R59</f>
        <v>2</v>
      </c>
      <c r="U46" s="1">
        <f>'RND 4 STBL'!S59</f>
        <v>2</v>
      </c>
      <c r="V46" s="1">
        <f>'RND 4 STBL'!T59</f>
        <v>2</v>
      </c>
      <c r="W46" s="89">
        <f>'RND 4 STBL'!U59</f>
        <v>35</v>
      </c>
    </row>
    <row r="47" spans="1:23" x14ac:dyDescent="0.2">
      <c r="A47" s="83" t="str">
        <f t="shared" si="1"/>
        <v>LAING</v>
      </c>
      <c r="B47" s="78">
        <f t="shared" si="1"/>
        <v>18</v>
      </c>
      <c r="D47" s="83"/>
      <c r="E47" s="1">
        <f>'RND 4 STBL'!C60</f>
        <v>0</v>
      </c>
      <c r="F47" s="1">
        <f>'RND 4 STBL'!D60</f>
        <v>2</v>
      </c>
      <c r="G47" s="1">
        <f>'RND 4 STBL'!E60</f>
        <v>3</v>
      </c>
      <c r="H47" s="1">
        <f>'RND 4 STBL'!F60</f>
        <v>1</v>
      </c>
      <c r="I47" s="1">
        <f>'RND 4 STBL'!G60</f>
        <v>2</v>
      </c>
      <c r="J47" s="1">
        <f>'RND 4 STBL'!H60</f>
        <v>3</v>
      </c>
      <c r="K47" s="1">
        <f>'RND 4 STBL'!I60</f>
        <v>2</v>
      </c>
      <c r="L47" s="1">
        <f>'RND 4 STBL'!J60</f>
        <v>2</v>
      </c>
      <c r="M47" s="1">
        <f>'RND 4 STBL'!K60</f>
        <v>2</v>
      </c>
      <c r="N47" s="1">
        <f>'RND 4 STBL'!L60</f>
        <v>1</v>
      </c>
      <c r="O47" s="1">
        <f>'RND 4 STBL'!M60</f>
        <v>2</v>
      </c>
      <c r="P47" s="1">
        <f>'RND 4 STBL'!N60</f>
        <v>3</v>
      </c>
      <c r="Q47" s="1">
        <f>'RND 4 STBL'!O60</f>
        <v>1</v>
      </c>
      <c r="R47" s="1">
        <f>'RND 4 STBL'!P60</f>
        <v>2</v>
      </c>
      <c r="S47" s="1">
        <f>'RND 4 STBL'!Q60</f>
        <v>3</v>
      </c>
      <c r="T47" s="1">
        <f>'RND 4 STBL'!R60</f>
        <v>2</v>
      </c>
      <c r="U47" s="1">
        <f>'RND 4 STBL'!S60</f>
        <v>2</v>
      </c>
      <c r="V47" s="1">
        <f>'RND 4 STBL'!T60</f>
        <v>2</v>
      </c>
      <c r="W47" s="89">
        <f>'RND 4 STBL'!U60</f>
        <v>35</v>
      </c>
    </row>
    <row r="48" spans="1:23" x14ac:dyDescent="0.2">
      <c r="A48" s="83" t="str">
        <f t="shared" si="1"/>
        <v>REILLY</v>
      </c>
      <c r="B48" s="78">
        <f t="shared" si="1"/>
        <v>18</v>
      </c>
      <c r="D48" s="83"/>
      <c r="E48" s="1">
        <f>'RND 4 STBL'!C61</f>
        <v>0</v>
      </c>
      <c r="F48" s="1">
        <f>'RND 4 STBL'!D61</f>
        <v>2</v>
      </c>
      <c r="G48" s="1">
        <f>'RND 4 STBL'!E61</f>
        <v>3</v>
      </c>
      <c r="H48" s="1">
        <f>'RND 4 STBL'!F61</f>
        <v>1</v>
      </c>
      <c r="I48" s="1">
        <f>'RND 4 STBL'!G61</f>
        <v>2</v>
      </c>
      <c r="J48" s="1">
        <f>'RND 4 STBL'!H61</f>
        <v>3</v>
      </c>
      <c r="K48" s="1">
        <f>'RND 4 STBL'!I61</f>
        <v>2</v>
      </c>
      <c r="L48" s="1">
        <f>'RND 4 STBL'!J61</f>
        <v>2</v>
      </c>
      <c r="M48" s="1">
        <f>'RND 4 STBL'!K61</f>
        <v>2</v>
      </c>
      <c r="N48" s="1">
        <f>'RND 4 STBL'!L61</f>
        <v>1</v>
      </c>
      <c r="O48" s="1">
        <f>'RND 4 STBL'!M61</f>
        <v>2</v>
      </c>
      <c r="P48" s="1">
        <f>'RND 4 STBL'!N61</f>
        <v>3</v>
      </c>
      <c r="Q48" s="1">
        <f>'RND 4 STBL'!O61</f>
        <v>1</v>
      </c>
      <c r="R48" s="1">
        <f>'RND 4 STBL'!P61</f>
        <v>2</v>
      </c>
      <c r="S48" s="1">
        <f>'RND 4 STBL'!Q61</f>
        <v>3</v>
      </c>
      <c r="T48" s="1">
        <f>'RND 4 STBL'!R61</f>
        <v>2</v>
      </c>
      <c r="U48" s="1">
        <f>'RND 4 STBL'!S61</f>
        <v>2</v>
      </c>
      <c r="V48" s="1">
        <f>'RND 4 STBL'!T61</f>
        <v>2</v>
      </c>
      <c r="W48" s="89">
        <f>'RND 4 STBL'!U61</f>
        <v>35</v>
      </c>
    </row>
    <row r="49" spans="1:23" x14ac:dyDescent="0.2">
      <c r="A49" s="85" t="str">
        <f t="shared" si="1"/>
        <v>STONES</v>
      </c>
      <c r="B49" s="79">
        <f t="shared" si="1"/>
        <v>18</v>
      </c>
      <c r="D49" s="85"/>
      <c r="E49" s="90">
        <f>'RND 4 STBL'!C62</f>
        <v>0</v>
      </c>
      <c r="F49" s="90">
        <f>'RND 4 STBL'!D62</f>
        <v>2</v>
      </c>
      <c r="G49" s="90">
        <f>'RND 4 STBL'!E62</f>
        <v>3</v>
      </c>
      <c r="H49" s="90">
        <f>'RND 4 STBL'!F62</f>
        <v>1</v>
      </c>
      <c r="I49" s="90">
        <f>'RND 4 STBL'!G62</f>
        <v>2</v>
      </c>
      <c r="J49" s="90">
        <f>'RND 4 STBL'!H62</f>
        <v>3</v>
      </c>
      <c r="K49" s="90">
        <f>'RND 4 STBL'!I62</f>
        <v>2</v>
      </c>
      <c r="L49" s="90">
        <f>'RND 4 STBL'!J62</f>
        <v>2</v>
      </c>
      <c r="M49" s="90">
        <f>'RND 4 STBL'!K62</f>
        <v>2</v>
      </c>
      <c r="N49" s="90">
        <f>'RND 4 STBL'!L62</f>
        <v>1</v>
      </c>
      <c r="O49" s="90">
        <f>'RND 4 STBL'!M62</f>
        <v>2</v>
      </c>
      <c r="P49" s="90">
        <f>'RND 4 STBL'!N62</f>
        <v>3</v>
      </c>
      <c r="Q49" s="90">
        <f>'RND 4 STBL'!O62</f>
        <v>1</v>
      </c>
      <c r="R49" s="90">
        <f>'RND 4 STBL'!P62</f>
        <v>2</v>
      </c>
      <c r="S49" s="90">
        <f>'RND 4 STBL'!Q62</f>
        <v>3</v>
      </c>
      <c r="T49" s="90">
        <f>'RND 4 STBL'!R62</f>
        <v>2</v>
      </c>
      <c r="U49" s="90">
        <f>'RND 4 STBL'!S62</f>
        <v>2</v>
      </c>
      <c r="V49" s="90">
        <f>'RND 4 STBL'!T62</f>
        <v>2</v>
      </c>
      <c r="W49" s="91">
        <f>'RND 4 STBL'!U62</f>
        <v>35</v>
      </c>
    </row>
    <row r="72" spans="1:8" x14ac:dyDescent="0.2">
      <c r="A72" t="s">
        <v>97</v>
      </c>
    </row>
    <row r="73" spans="1:8" x14ac:dyDescent="0.2">
      <c r="A73" s="157"/>
      <c r="B73" s="227"/>
      <c r="C73" s="158"/>
      <c r="D73" s="158" t="s">
        <v>67</v>
      </c>
      <c r="E73" s="158" t="s">
        <v>66</v>
      </c>
      <c r="F73" s="158" t="s">
        <v>96</v>
      </c>
      <c r="G73" s="4" t="s">
        <v>98</v>
      </c>
      <c r="H73" s="232" t="s">
        <v>104</v>
      </c>
    </row>
    <row r="74" spans="1:8" x14ac:dyDescent="0.2">
      <c r="A74" s="159" t="str">
        <f>'OVERALL CALC'!Q61</f>
        <v>1ST</v>
      </c>
      <c r="B74" s="159" t="str">
        <f>'OVERALL CALC'!R61</f>
        <v>–</v>
      </c>
      <c r="C74" s="159" t="str">
        <f>'OVERALL CALC'!S61</f>
        <v>STONES</v>
      </c>
      <c r="D74" s="159">
        <f>'OVERALL CALC'!T61</f>
        <v>24</v>
      </c>
      <c r="E74" s="159">
        <f>'OVERALL CALC'!U61</f>
        <v>7.5</v>
      </c>
      <c r="F74" s="159">
        <f>'OVERALL CALC'!V61</f>
        <v>24</v>
      </c>
      <c r="G74" s="159">
        <f>'OVERALL CALC'!W61</f>
        <v>10.5</v>
      </c>
      <c r="H74" s="233">
        <f>'OVERALL CALC'!X61</f>
        <v>66</v>
      </c>
    </row>
    <row r="75" spans="1:8" x14ac:dyDescent="0.2">
      <c r="A75" s="159" t="str">
        <f>'OVERALL CALC'!Q62</f>
        <v>2ND</v>
      </c>
      <c r="B75" s="159" t="str">
        <f>'OVERALL CALC'!R62</f>
        <v>–</v>
      </c>
      <c r="C75" s="159" t="str">
        <f>'OVERALL CALC'!S62</f>
        <v>REILLY</v>
      </c>
      <c r="D75" s="159">
        <f>'OVERALL CALC'!T62</f>
        <v>18</v>
      </c>
      <c r="E75" s="159">
        <f>'OVERALL CALC'!U62</f>
        <v>12</v>
      </c>
      <c r="F75" s="159">
        <f>'OVERALL CALC'!V62</f>
        <v>21</v>
      </c>
      <c r="G75" s="159">
        <f>'OVERALL CALC'!W62</f>
        <v>10.5</v>
      </c>
      <c r="H75" s="233">
        <f>'OVERALL CALC'!X62</f>
        <v>61.5</v>
      </c>
    </row>
    <row r="76" spans="1:8" x14ac:dyDescent="0.2">
      <c r="A76" s="159" t="str">
        <f>'OVERALL CALC'!Q63</f>
        <v>=3RD</v>
      </c>
      <c r="B76" s="159" t="str">
        <f>'OVERALL CALC'!R63</f>
        <v>–</v>
      </c>
      <c r="C76" s="159" t="str">
        <f>'OVERALL CALC'!S63</f>
        <v>HOLLANDS</v>
      </c>
      <c r="D76" s="159">
        <f>'OVERALL CALC'!T63</f>
        <v>12</v>
      </c>
      <c r="E76" s="159">
        <f>'OVERALL CALC'!U63</f>
        <v>22.5</v>
      </c>
      <c r="F76" s="159">
        <f>'OVERALL CALC'!V63</f>
        <v>15</v>
      </c>
      <c r="G76" s="159">
        <f>'OVERALL CALC'!W63</f>
        <v>10.5</v>
      </c>
      <c r="H76" s="233">
        <f>'OVERALL CALC'!X63</f>
        <v>60</v>
      </c>
    </row>
    <row r="77" spans="1:8" x14ac:dyDescent="0.2">
      <c r="A77" s="159" t="str">
        <f>'OVERALL CALC'!Q64</f>
        <v>=3RD</v>
      </c>
      <c r="B77" s="159" t="str">
        <f>'OVERALL CALC'!R64</f>
        <v>–</v>
      </c>
      <c r="C77" s="159" t="str">
        <f>'OVERALL CALC'!S64</f>
        <v>FINDLAY</v>
      </c>
      <c r="D77" s="159">
        <f>'OVERALL CALC'!T64</f>
        <v>15</v>
      </c>
      <c r="E77" s="159">
        <f>'OVERALL CALC'!U64</f>
        <v>22.5</v>
      </c>
      <c r="F77" s="159">
        <f>'OVERALL CALC'!V64</f>
        <v>12</v>
      </c>
      <c r="G77" s="159">
        <f>'OVERALL CALC'!W64</f>
        <v>10.5</v>
      </c>
      <c r="H77" s="233">
        <f>'OVERALL CALC'!X64</f>
        <v>60</v>
      </c>
    </row>
    <row r="78" spans="1:8" x14ac:dyDescent="0.2">
      <c r="A78" s="159" t="str">
        <f>'OVERALL CALC'!Q65</f>
        <v>5TH</v>
      </c>
      <c r="B78" s="159" t="str">
        <f>'OVERALL CALC'!R65</f>
        <v>⬆</v>
      </c>
      <c r="C78" s="159" t="str">
        <f>'OVERALL CALC'!S65</f>
        <v>BELLIS</v>
      </c>
      <c r="D78" s="159">
        <f>'OVERALL CALC'!T65</f>
        <v>21</v>
      </c>
      <c r="E78" s="159">
        <f>'OVERALL CALC'!U65</f>
        <v>3</v>
      </c>
      <c r="F78" s="159">
        <f>'OVERALL CALC'!V65</f>
        <v>3</v>
      </c>
      <c r="G78" s="159">
        <f>'OVERALL CALC'!W65</f>
        <v>24</v>
      </c>
      <c r="H78" s="233">
        <f>'OVERALL CALC'!X65</f>
        <v>51</v>
      </c>
    </row>
    <row r="79" spans="1:8" x14ac:dyDescent="0.2">
      <c r="A79" s="159" t="str">
        <f>'OVERALL CALC'!Q66</f>
        <v>6TH</v>
      </c>
      <c r="B79" s="159" t="str">
        <f>'OVERALL CALC'!R66</f>
        <v>⬇</v>
      </c>
      <c r="C79" s="159" t="str">
        <f>'OVERALL CALC'!S66</f>
        <v>LAING</v>
      </c>
      <c r="D79" s="159">
        <f>'OVERALL CALC'!T66</f>
        <v>3</v>
      </c>
      <c r="E79" s="159">
        <f>'OVERALL CALC'!U66</f>
        <v>15</v>
      </c>
      <c r="F79" s="159">
        <f>'OVERALL CALC'!V66</f>
        <v>18</v>
      </c>
      <c r="G79" s="159">
        <f>'OVERALL CALC'!W66</f>
        <v>10.5</v>
      </c>
      <c r="H79" s="233">
        <f>'OVERALL CALC'!X66</f>
        <v>46.5</v>
      </c>
    </row>
    <row r="80" spans="1:8" x14ac:dyDescent="0.2">
      <c r="A80" s="159" t="str">
        <f>'OVERALL CALC'!Q67</f>
        <v>7TH</v>
      </c>
      <c r="B80" s="159" t="str">
        <f>'OVERALL CALC'!R67</f>
        <v>⬇</v>
      </c>
      <c r="C80" s="159" t="str">
        <f>'OVERALL CALC'!S67</f>
        <v>DONOVAN</v>
      </c>
      <c r="D80" s="159">
        <f>'OVERALL CALC'!T67</f>
        <v>7.5</v>
      </c>
      <c r="E80" s="159">
        <f>'OVERALL CALC'!U67</f>
        <v>18</v>
      </c>
      <c r="F80" s="159">
        <f>'OVERALL CALC'!V67</f>
        <v>9</v>
      </c>
      <c r="G80" s="159">
        <f>'OVERALL CALC'!W67</f>
        <v>10.5</v>
      </c>
      <c r="H80" s="233">
        <f>'OVERALL CALC'!X67</f>
        <v>45</v>
      </c>
    </row>
    <row r="81" spans="1:8" x14ac:dyDescent="0.2">
      <c r="A81" s="160" t="str">
        <f>'OVERALL CALC'!Q68</f>
        <v>8TH</v>
      </c>
      <c r="B81" s="160" t="str">
        <f>'OVERALL CALC'!R68</f>
        <v>–</v>
      </c>
      <c r="C81" s="160" t="str">
        <f>'OVERALL CALC'!S68</f>
        <v>DEY</v>
      </c>
      <c r="D81" s="160">
        <f>'OVERALL CALC'!T68</f>
        <v>7.5</v>
      </c>
      <c r="E81" s="160">
        <f>'OVERALL CALC'!U68</f>
        <v>7.5</v>
      </c>
      <c r="F81" s="160">
        <f>'OVERALL CALC'!V68</f>
        <v>6</v>
      </c>
      <c r="G81" s="160">
        <f>'OVERALL CALC'!W68</f>
        <v>21</v>
      </c>
      <c r="H81" s="234">
        <f>'OVERALL CALC'!X68</f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AE41-D13A-5843-97E8-0AC1E74105CA}">
  <dimension ref="A1:AG62"/>
  <sheetViews>
    <sheetView zoomScale="66" zoomScaleNormal="100" workbookViewId="0">
      <selection activeCell="C15" sqref="C15"/>
    </sheetView>
  </sheetViews>
  <sheetFormatPr baseColWidth="10" defaultRowHeight="15" x14ac:dyDescent="0.2"/>
  <cols>
    <col min="1" max="1" width="13.1640625" bestFit="1" customWidth="1"/>
    <col min="22" max="22" width="12.33203125" customWidth="1"/>
  </cols>
  <sheetData>
    <row r="1" spans="1:33" x14ac:dyDescent="0.2">
      <c r="A1" t="s">
        <v>21</v>
      </c>
      <c r="Y1" s="318" t="s">
        <v>27</v>
      </c>
      <c r="Z1" s="319"/>
      <c r="AA1" s="319"/>
      <c r="AB1" s="319"/>
      <c r="AC1" s="319"/>
      <c r="AD1" s="319"/>
      <c r="AE1" s="319"/>
      <c r="AF1" s="319"/>
      <c r="AG1" s="320"/>
    </row>
    <row r="2" spans="1:33" x14ac:dyDescent="0.2">
      <c r="Y2" s="321"/>
      <c r="Z2" s="322"/>
      <c r="AA2" s="322"/>
      <c r="AB2" s="322"/>
      <c r="AC2" s="322"/>
      <c r="AD2" s="322"/>
      <c r="AE2" s="322"/>
      <c r="AF2" s="322"/>
      <c r="AG2" s="323"/>
    </row>
    <row r="3" spans="1:33" x14ac:dyDescent="0.2">
      <c r="Y3" s="83"/>
      <c r="AG3" s="84"/>
    </row>
    <row r="4" spans="1:33" x14ac:dyDescent="0.2">
      <c r="A4" s="47" t="s">
        <v>1</v>
      </c>
      <c r="B4" s="60" t="s">
        <v>15</v>
      </c>
      <c r="C4" s="61">
        <v>1</v>
      </c>
      <c r="D4" s="54">
        <v>2</v>
      </c>
      <c r="E4" s="54">
        <v>3</v>
      </c>
      <c r="F4" s="54">
        <v>4</v>
      </c>
      <c r="G4" s="54">
        <v>5</v>
      </c>
      <c r="H4" s="54">
        <v>6</v>
      </c>
      <c r="I4" s="54">
        <v>7</v>
      </c>
      <c r="J4" s="54">
        <v>8</v>
      </c>
      <c r="K4" s="54">
        <v>9</v>
      </c>
      <c r="L4" s="54">
        <v>10</v>
      </c>
      <c r="M4" s="54">
        <v>11</v>
      </c>
      <c r="N4" s="54">
        <v>12</v>
      </c>
      <c r="O4" s="54">
        <v>13</v>
      </c>
      <c r="P4" s="54">
        <v>14</v>
      </c>
      <c r="Q4" s="54">
        <v>15</v>
      </c>
      <c r="R4" s="54">
        <v>16</v>
      </c>
      <c r="S4" s="54">
        <v>17</v>
      </c>
      <c r="T4" s="54">
        <v>18</v>
      </c>
      <c r="U4" s="55" t="s">
        <v>2</v>
      </c>
      <c r="V4" s="59" t="s">
        <v>16</v>
      </c>
      <c r="Y4" s="139" t="str">
        <f t="shared" ref="Y4:Y11" si="0">A7</f>
        <v>BELLIS</v>
      </c>
      <c r="Z4" s="140">
        <f>U55</f>
        <v>37</v>
      </c>
      <c r="AA4" s="140">
        <f t="shared" ref="AA4:AA11" si="1">RANK(Z4,$Z$4:$Z$11,0)</f>
        <v>1</v>
      </c>
      <c r="AB4" s="140"/>
      <c r="AC4" s="140"/>
      <c r="AD4" s="140">
        <f t="shared" ref="AD4:AD11" si="2">IF(AA4=1,24,0)+(IF(AA4=2,21,0))+(IF(AA4=3,18,0))+(IF(AA4=4,15,0))+(IF(AA4=5,12,0))+(IF(AA4=6,9,0))+(IF(AA4=7,6,0))+(IF(AA4=8,3,0))</f>
        <v>24</v>
      </c>
      <c r="AE4" s="140">
        <f t="shared" ref="AE4:AE11" si="3">COUNTIF($AD$4:$AD$11,AD4)</f>
        <v>1</v>
      </c>
      <c r="AF4" s="140">
        <f t="shared" ref="AF4:AF11" si="4">SUMIF($AD$4:$AD$11,AD4)</f>
        <v>24</v>
      </c>
      <c r="AG4" s="141">
        <f>IF(AE4=3,AF4/3-3,0)+IF(AE4=2,AF4/2-1.5,0)+IF(AE4=1,AF4,0)+IF(AE4=4,AF4/4-4.5,0)+IF(AE4=5,AF4/5-6,0)+IF(AE4=6,AF4/6-7.5,0)+IF(AE4=7,AF4/7-9,0)+IF(AE4=8,AF4/8-10.5,0)</f>
        <v>24</v>
      </c>
    </row>
    <row r="5" spans="1:33" x14ac:dyDescent="0.2">
      <c r="A5" s="49"/>
      <c r="B5" s="50"/>
      <c r="C5" s="56">
        <v>3</v>
      </c>
      <c r="D5" s="56">
        <v>4</v>
      </c>
      <c r="E5" s="56">
        <v>5</v>
      </c>
      <c r="F5" s="56">
        <v>3</v>
      </c>
      <c r="G5" s="56">
        <v>4</v>
      </c>
      <c r="H5" s="56">
        <v>5</v>
      </c>
      <c r="I5" s="56">
        <v>4</v>
      </c>
      <c r="J5" s="56">
        <v>4</v>
      </c>
      <c r="K5" s="56">
        <v>4</v>
      </c>
      <c r="L5" s="56">
        <v>3</v>
      </c>
      <c r="M5" s="56">
        <v>4</v>
      </c>
      <c r="N5" s="56">
        <v>5</v>
      </c>
      <c r="O5" s="56">
        <v>3</v>
      </c>
      <c r="P5" s="56">
        <v>4</v>
      </c>
      <c r="Q5" s="56">
        <v>5</v>
      </c>
      <c r="R5" s="56">
        <v>4</v>
      </c>
      <c r="S5" s="56">
        <v>4</v>
      </c>
      <c r="T5" s="56">
        <v>4</v>
      </c>
      <c r="U5" s="50"/>
      <c r="Y5" s="142" t="str">
        <f t="shared" si="0"/>
        <v>DEY</v>
      </c>
      <c r="Z5" s="143">
        <f t="shared" ref="Z5:Z11" si="5">U56</f>
        <v>36</v>
      </c>
      <c r="AA5" s="143">
        <f t="shared" si="1"/>
        <v>2</v>
      </c>
      <c r="AB5" s="143"/>
      <c r="AC5" s="143"/>
      <c r="AD5" s="143">
        <f t="shared" si="2"/>
        <v>21</v>
      </c>
      <c r="AE5" s="143">
        <f t="shared" si="3"/>
        <v>1</v>
      </c>
      <c r="AF5" s="143">
        <f t="shared" si="4"/>
        <v>21</v>
      </c>
      <c r="AG5" s="144">
        <f t="shared" ref="AG5:AG11" si="6">IF(AE5=3,AF5/3-3,0)+IF(AE5=2,AF5/2-1.5,0)+IF(AE5=1,AF5,0)+IF(AE5=4,AF5/4-4.5,0)+IF(AE5=5,AF5/5-6,0)+IF(AE5=6,AF5/6-7.5,0)+IF(AE5=7,AF5/7-9,0)+IF(AE5=8,AF5/8-10.5,0)</f>
        <v>21</v>
      </c>
    </row>
    <row r="6" spans="1:33" x14ac:dyDescent="0.2">
      <c r="A6" s="49"/>
      <c r="B6" s="50"/>
      <c r="C6" s="57">
        <v>5</v>
      </c>
      <c r="D6" s="57">
        <v>3</v>
      </c>
      <c r="E6" s="57">
        <v>1</v>
      </c>
      <c r="F6" s="57">
        <v>11</v>
      </c>
      <c r="G6" s="57">
        <v>9</v>
      </c>
      <c r="H6" s="57">
        <v>17</v>
      </c>
      <c r="I6" s="57">
        <v>13</v>
      </c>
      <c r="J6" s="57">
        <v>15</v>
      </c>
      <c r="K6" s="57">
        <v>7</v>
      </c>
      <c r="L6" s="57">
        <v>18</v>
      </c>
      <c r="M6" s="57">
        <v>16</v>
      </c>
      <c r="N6" s="57">
        <v>6</v>
      </c>
      <c r="O6" s="57">
        <v>8</v>
      </c>
      <c r="P6" s="57">
        <v>10</v>
      </c>
      <c r="Q6" s="57">
        <v>12</v>
      </c>
      <c r="R6" s="57">
        <v>14</v>
      </c>
      <c r="S6" s="57">
        <v>4</v>
      </c>
      <c r="T6" s="57">
        <v>2</v>
      </c>
      <c r="U6" s="58"/>
      <c r="Y6" s="142" t="str">
        <f t="shared" si="0"/>
        <v>DONOVAN</v>
      </c>
      <c r="Z6" s="143">
        <f t="shared" si="5"/>
        <v>35</v>
      </c>
      <c r="AA6" s="143">
        <f t="shared" si="1"/>
        <v>3</v>
      </c>
      <c r="AB6" s="143"/>
      <c r="AC6" s="143"/>
      <c r="AD6" s="143">
        <f t="shared" si="2"/>
        <v>18</v>
      </c>
      <c r="AE6" s="143">
        <f t="shared" si="3"/>
        <v>6</v>
      </c>
      <c r="AF6" s="143">
        <f t="shared" si="4"/>
        <v>108</v>
      </c>
      <c r="AG6" s="144">
        <f t="shared" si="6"/>
        <v>10.5</v>
      </c>
    </row>
    <row r="7" spans="1:33" x14ac:dyDescent="0.2">
      <c r="A7" s="49" t="s">
        <v>3</v>
      </c>
      <c r="B7" s="114">
        <v>18</v>
      </c>
      <c r="C7" s="112">
        <v>4</v>
      </c>
      <c r="D7" s="112">
        <v>5</v>
      </c>
      <c r="E7" s="112">
        <v>5</v>
      </c>
      <c r="F7" s="112">
        <v>5</v>
      </c>
      <c r="G7" s="112">
        <v>5</v>
      </c>
      <c r="H7" s="112">
        <v>5</v>
      </c>
      <c r="I7" s="112">
        <v>5</v>
      </c>
      <c r="J7" s="112">
        <v>5</v>
      </c>
      <c r="K7" s="112">
        <v>5</v>
      </c>
      <c r="L7" s="112">
        <v>5</v>
      </c>
      <c r="M7" s="112">
        <v>5</v>
      </c>
      <c r="N7" s="112">
        <v>5</v>
      </c>
      <c r="O7" s="112">
        <v>5</v>
      </c>
      <c r="P7" s="112">
        <v>5</v>
      </c>
      <c r="Q7" s="112">
        <v>5</v>
      </c>
      <c r="R7" s="112">
        <v>5</v>
      </c>
      <c r="S7" s="112">
        <v>5</v>
      </c>
      <c r="T7" s="112">
        <v>5</v>
      </c>
      <c r="U7" s="8">
        <f>SUM(C7:T7)</f>
        <v>89</v>
      </c>
      <c r="Y7" s="142" t="str">
        <f t="shared" si="0"/>
        <v>FINDLAY</v>
      </c>
      <c r="Z7" s="143">
        <f t="shared" si="5"/>
        <v>35</v>
      </c>
      <c r="AA7" s="143">
        <f t="shared" si="1"/>
        <v>3</v>
      </c>
      <c r="AB7" s="143"/>
      <c r="AC7" s="143"/>
      <c r="AD7" s="143">
        <f t="shared" si="2"/>
        <v>18</v>
      </c>
      <c r="AE7" s="143">
        <f t="shared" si="3"/>
        <v>6</v>
      </c>
      <c r="AF7" s="143">
        <f t="shared" si="4"/>
        <v>108</v>
      </c>
      <c r="AG7" s="144">
        <f t="shared" si="6"/>
        <v>10.5</v>
      </c>
    </row>
    <row r="8" spans="1:33" x14ac:dyDescent="0.2">
      <c r="A8" s="49" t="s">
        <v>4</v>
      </c>
      <c r="B8" s="114">
        <v>18</v>
      </c>
      <c r="C8" s="112">
        <v>5</v>
      </c>
      <c r="D8" s="112">
        <v>5</v>
      </c>
      <c r="E8" s="112">
        <v>5</v>
      </c>
      <c r="F8" s="112">
        <v>5</v>
      </c>
      <c r="G8" s="112">
        <v>5</v>
      </c>
      <c r="H8" s="112">
        <v>5</v>
      </c>
      <c r="I8" s="112">
        <v>5</v>
      </c>
      <c r="J8" s="112">
        <v>5</v>
      </c>
      <c r="K8" s="112">
        <v>5</v>
      </c>
      <c r="L8" s="112">
        <v>5</v>
      </c>
      <c r="M8" s="112">
        <v>5</v>
      </c>
      <c r="N8" s="112">
        <v>5</v>
      </c>
      <c r="O8" s="112">
        <v>5</v>
      </c>
      <c r="P8" s="112">
        <v>5</v>
      </c>
      <c r="Q8" s="112">
        <v>5</v>
      </c>
      <c r="R8" s="112">
        <v>5</v>
      </c>
      <c r="S8" s="112">
        <v>5</v>
      </c>
      <c r="T8" s="112">
        <v>5</v>
      </c>
      <c r="U8" s="8">
        <f t="shared" ref="U8:U14" si="7">SUM(C8:T8)</f>
        <v>90</v>
      </c>
      <c r="Y8" s="142" t="str">
        <f t="shared" si="0"/>
        <v>HOLLANDS</v>
      </c>
      <c r="Z8" s="143">
        <f t="shared" si="5"/>
        <v>35</v>
      </c>
      <c r="AA8" s="143">
        <f t="shared" si="1"/>
        <v>3</v>
      </c>
      <c r="AB8" s="143"/>
      <c r="AC8" s="143"/>
      <c r="AD8" s="143">
        <f t="shared" si="2"/>
        <v>18</v>
      </c>
      <c r="AE8" s="143">
        <f t="shared" si="3"/>
        <v>6</v>
      </c>
      <c r="AF8" s="143">
        <f t="shared" si="4"/>
        <v>108</v>
      </c>
      <c r="AG8" s="144">
        <f t="shared" si="6"/>
        <v>10.5</v>
      </c>
    </row>
    <row r="9" spans="1:33" x14ac:dyDescent="0.2">
      <c r="A9" s="49" t="s">
        <v>5</v>
      </c>
      <c r="B9" s="114">
        <v>18</v>
      </c>
      <c r="C9" s="112">
        <v>6</v>
      </c>
      <c r="D9" s="112">
        <v>5</v>
      </c>
      <c r="E9" s="112">
        <v>5</v>
      </c>
      <c r="F9" s="112">
        <v>5</v>
      </c>
      <c r="G9" s="112">
        <v>5</v>
      </c>
      <c r="H9" s="112">
        <v>5</v>
      </c>
      <c r="I9" s="112">
        <v>5</v>
      </c>
      <c r="J9" s="112">
        <v>5</v>
      </c>
      <c r="K9" s="112">
        <v>5</v>
      </c>
      <c r="L9" s="112">
        <v>5</v>
      </c>
      <c r="M9" s="112">
        <v>5</v>
      </c>
      <c r="N9" s="112">
        <v>5</v>
      </c>
      <c r="O9" s="112">
        <v>5</v>
      </c>
      <c r="P9" s="112">
        <v>5</v>
      </c>
      <c r="Q9" s="112">
        <v>5</v>
      </c>
      <c r="R9" s="112">
        <v>5</v>
      </c>
      <c r="S9" s="112">
        <v>5</v>
      </c>
      <c r="T9" s="112">
        <v>5</v>
      </c>
      <c r="U9" s="8">
        <f t="shared" si="7"/>
        <v>91</v>
      </c>
      <c r="Y9" s="142" t="str">
        <f t="shared" si="0"/>
        <v>LAING</v>
      </c>
      <c r="Z9" s="143">
        <f t="shared" si="5"/>
        <v>35</v>
      </c>
      <c r="AA9" s="143">
        <f t="shared" si="1"/>
        <v>3</v>
      </c>
      <c r="AB9" s="143"/>
      <c r="AC9" s="143"/>
      <c r="AD9" s="143">
        <f t="shared" si="2"/>
        <v>18</v>
      </c>
      <c r="AE9" s="143">
        <f t="shared" si="3"/>
        <v>6</v>
      </c>
      <c r="AF9" s="143">
        <f t="shared" si="4"/>
        <v>108</v>
      </c>
      <c r="AG9" s="144">
        <f t="shared" si="6"/>
        <v>10.5</v>
      </c>
    </row>
    <row r="10" spans="1:33" x14ac:dyDescent="0.2">
      <c r="A10" s="49" t="s">
        <v>6</v>
      </c>
      <c r="B10" s="114">
        <v>18</v>
      </c>
      <c r="C10" s="112">
        <v>7</v>
      </c>
      <c r="D10" s="112">
        <v>5</v>
      </c>
      <c r="E10" s="112">
        <v>5</v>
      </c>
      <c r="F10" s="112">
        <v>5</v>
      </c>
      <c r="G10" s="112">
        <v>5</v>
      </c>
      <c r="H10" s="112">
        <v>5</v>
      </c>
      <c r="I10" s="112">
        <v>5</v>
      </c>
      <c r="J10" s="112">
        <v>5</v>
      </c>
      <c r="K10" s="112">
        <v>5</v>
      </c>
      <c r="L10" s="112">
        <v>5</v>
      </c>
      <c r="M10" s="112">
        <v>5</v>
      </c>
      <c r="N10" s="112">
        <v>5</v>
      </c>
      <c r="O10" s="112">
        <v>5</v>
      </c>
      <c r="P10" s="112">
        <v>5</v>
      </c>
      <c r="Q10" s="112">
        <v>5</v>
      </c>
      <c r="R10" s="112">
        <v>5</v>
      </c>
      <c r="S10" s="112">
        <v>5</v>
      </c>
      <c r="T10" s="112">
        <v>5</v>
      </c>
      <c r="U10" s="8">
        <f t="shared" si="7"/>
        <v>92</v>
      </c>
      <c r="Y10" s="142" t="str">
        <f t="shared" si="0"/>
        <v>REILLY</v>
      </c>
      <c r="Z10" s="143">
        <f t="shared" si="5"/>
        <v>35</v>
      </c>
      <c r="AA10" s="143">
        <f t="shared" si="1"/>
        <v>3</v>
      </c>
      <c r="AB10" s="143"/>
      <c r="AC10" s="143"/>
      <c r="AD10" s="143">
        <f t="shared" si="2"/>
        <v>18</v>
      </c>
      <c r="AE10" s="143">
        <f t="shared" si="3"/>
        <v>6</v>
      </c>
      <c r="AF10" s="143">
        <f t="shared" si="4"/>
        <v>108</v>
      </c>
      <c r="AG10" s="144">
        <f t="shared" si="6"/>
        <v>10.5</v>
      </c>
    </row>
    <row r="11" spans="1:33" x14ac:dyDescent="0.2">
      <c r="A11" s="49" t="s">
        <v>7</v>
      </c>
      <c r="B11" s="114">
        <v>18</v>
      </c>
      <c r="C11" s="112">
        <v>8</v>
      </c>
      <c r="D11" s="112">
        <v>5</v>
      </c>
      <c r="E11" s="112">
        <v>5</v>
      </c>
      <c r="F11" s="112">
        <v>5</v>
      </c>
      <c r="G11" s="112">
        <v>5</v>
      </c>
      <c r="H11" s="112">
        <v>5</v>
      </c>
      <c r="I11" s="112">
        <v>5</v>
      </c>
      <c r="J11" s="112">
        <v>5</v>
      </c>
      <c r="K11" s="112">
        <v>5</v>
      </c>
      <c r="L11" s="112">
        <v>5</v>
      </c>
      <c r="M11" s="112">
        <v>5</v>
      </c>
      <c r="N11" s="112">
        <v>5</v>
      </c>
      <c r="O11" s="112">
        <v>5</v>
      </c>
      <c r="P11" s="112">
        <v>5</v>
      </c>
      <c r="Q11" s="112">
        <v>5</v>
      </c>
      <c r="R11" s="112">
        <v>5</v>
      </c>
      <c r="S11" s="112">
        <v>5</v>
      </c>
      <c r="T11" s="112">
        <v>5</v>
      </c>
      <c r="U11" s="8">
        <f t="shared" si="7"/>
        <v>93</v>
      </c>
      <c r="Y11" s="145" t="str">
        <f t="shared" si="0"/>
        <v>STONES</v>
      </c>
      <c r="Z11" s="146">
        <f t="shared" si="5"/>
        <v>35</v>
      </c>
      <c r="AA11" s="146">
        <f t="shared" si="1"/>
        <v>3</v>
      </c>
      <c r="AB11" s="146"/>
      <c r="AC11" s="146"/>
      <c r="AD11" s="146">
        <f t="shared" si="2"/>
        <v>18</v>
      </c>
      <c r="AE11" s="146">
        <f t="shared" si="3"/>
        <v>6</v>
      </c>
      <c r="AF11" s="146">
        <f t="shared" si="4"/>
        <v>108</v>
      </c>
      <c r="AG11" s="147">
        <f t="shared" si="6"/>
        <v>10.5</v>
      </c>
    </row>
    <row r="12" spans="1:33" x14ac:dyDescent="0.2">
      <c r="A12" s="49" t="s">
        <v>8</v>
      </c>
      <c r="B12" s="114">
        <v>18</v>
      </c>
      <c r="C12" s="112">
        <v>9</v>
      </c>
      <c r="D12" s="112">
        <v>5</v>
      </c>
      <c r="E12" s="112">
        <v>5</v>
      </c>
      <c r="F12" s="112">
        <v>5</v>
      </c>
      <c r="G12" s="112">
        <v>5</v>
      </c>
      <c r="H12" s="112">
        <v>5</v>
      </c>
      <c r="I12" s="112">
        <v>5</v>
      </c>
      <c r="J12" s="112">
        <v>5</v>
      </c>
      <c r="K12" s="112">
        <v>5</v>
      </c>
      <c r="L12" s="112">
        <v>5</v>
      </c>
      <c r="M12" s="112">
        <v>5</v>
      </c>
      <c r="N12" s="112">
        <v>5</v>
      </c>
      <c r="O12" s="112">
        <v>5</v>
      </c>
      <c r="P12" s="112">
        <v>5</v>
      </c>
      <c r="Q12" s="112">
        <v>5</v>
      </c>
      <c r="R12" s="112">
        <v>5</v>
      </c>
      <c r="S12" s="112">
        <v>5</v>
      </c>
      <c r="T12" s="112">
        <v>5</v>
      </c>
      <c r="U12" s="8">
        <f t="shared" si="7"/>
        <v>94</v>
      </c>
      <c r="Y12" s="83"/>
      <c r="AG12" s="84"/>
    </row>
    <row r="13" spans="1:33" x14ac:dyDescent="0.2">
      <c r="A13" s="49" t="s">
        <v>9</v>
      </c>
      <c r="B13" s="114">
        <v>18</v>
      </c>
      <c r="C13" s="112">
        <v>10</v>
      </c>
      <c r="D13" s="112">
        <v>5</v>
      </c>
      <c r="E13" s="112">
        <v>5</v>
      </c>
      <c r="F13" s="112">
        <v>5</v>
      </c>
      <c r="G13" s="112">
        <v>5</v>
      </c>
      <c r="H13" s="112">
        <v>5</v>
      </c>
      <c r="I13" s="112">
        <v>5</v>
      </c>
      <c r="J13" s="112">
        <v>5</v>
      </c>
      <c r="K13" s="112">
        <v>5</v>
      </c>
      <c r="L13" s="112">
        <v>5</v>
      </c>
      <c r="M13" s="112">
        <v>5</v>
      </c>
      <c r="N13" s="112">
        <v>5</v>
      </c>
      <c r="O13" s="112">
        <v>5</v>
      </c>
      <c r="P13" s="112">
        <v>5</v>
      </c>
      <c r="Q13" s="112">
        <v>5</v>
      </c>
      <c r="R13" s="112">
        <v>5</v>
      </c>
      <c r="S13" s="112">
        <v>5</v>
      </c>
      <c r="T13" s="112">
        <v>5</v>
      </c>
      <c r="U13" s="8">
        <f t="shared" si="7"/>
        <v>95</v>
      </c>
      <c r="Y13" s="83"/>
      <c r="AG13" s="84"/>
    </row>
    <row r="14" spans="1:33" x14ac:dyDescent="0.2">
      <c r="A14" s="52" t="s">
        <v>10</v>
      </c>
      <c r="B14" s="115">
        <v>18</v>
      </c>
      <c r="C14" s="113">
        <v>11</v>
      </c>
      <c r="D14" s="113">
        <v>5</v>
      </c>
      <c r="E14" s="113">
        <v>5</v>
      </c>
      <c r="F14" s="113">
        <v>5</v>
      </c>
      <c r="G14" s="113">
        <v>5</v>
      </c>
      <c r="H14" s="113">
        <v>5</v>
      </c>
      <c r="I14" s="113">
        <v>5</v>
      </c>
      <c r="J14" s="113">
        <v>5</v>
      </c>
      <c r="K14" s="113">
        <v>5</v>
      </c>
      <c r="L14" s="113">
        <v>5</v>
      </c>
      <c r="M14" s="113">
        <v>5</v>
      </c>
      <c r="N14" s="113">
        <v>5</v>
      </c>
      <c r="O14" s="113">
        <v>5</v>
      </c>
      <c r="P14" s="113">
        <v>5</v>
      </c>
      <c r="Q14" s="113">
        <v>5</v>
      </c>
      <c r="R14" s="113">
        <v>5</v>
      </c>
      <c r="S14" s="113">
        <v>5</v>
      </c>
      <c r="T14" s="113">
        <v>5</v>
      </c>
      <c r="U14" s="7">
        <f t="shared" si="7"/>
        <v>96</v>
      </c>
      <c r="Y14" s="139" t="str">
        <f t="shared" ref="Y14:Z21" si="8">Y4</f>
        <v>BELLIS</v>
      </c>
      <c r="Z14" s="140">
        <f t="shared" si="8"/>
        <v>37</v>
      </c>
      <c r="AA14" s="140">
        <f t="shared" ref="AA14:AA21" si="9">AG4</f>
        <v>24</v>
      </c>
      <c r="AB14" s="140">
        <f>RANK(Z14,$Z$14:$Z$21,0)+COUNTIF($Z$14:Z14,Z14)-1</f>
        <v>1</v>
      </c>
      <c r="AC14" s="141"/>
      <c r="AD14" s="103">
        <v>1</v>
      </c>
      <c r="AE14" s="104" t="str">
        <f t="shared" ref="AE14:AE21" si="10">INDEX($Y$14:$AB$21,MATCH(AD14,$AB$14:$AB$21,0),1)</f>
        <v>BELLIS</v>
      </c>
      <c r="AF14" s="104">
        <f t="shared" ref="AF14:AF21" si="11">INDEX($Y$14:$AB$21,MATCH(AD14,$AB$14:$AB$21,0),2)</f>
        <v>37</v>
      </c>
      <c r="AG14" s="105">
        <f t="shared" ref="AG14:AG21" si="12">INDEX($Y$14:$AB$21,MATCH(AD14,$AB$14:$AB$21,0),3)</f>
        <v>24</v>
      </c>
    </row>
    <row r="15" spans="1:33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Y15" s="142" t="str">
        <f t="shared" si="8"/>
        <v>DEY</v>
      </c>
      <c r="Z15" s="143">
        <f t="shared" si="8"/>
        <v>36</v>
      </c>
      <c r="AA15" s="143">
        <f t="shared" si="9"/>
        <v>21</v>
      </c>
      <c r="AB15" s="143">
        <f>RANK(Z15,$Z$14:$Z$21,0)+COUNTIF($Z$14:Z15,Z15)-1</f>
        <v>2</v>
      </c>
      <c r="AC15" s="144"/>
      <c r="AD15" s="106">
        <v>2</v>
      </c>
      <c r="AE15" s="12" t="str">
        <f t="shared" si="10"/>
        <v>DEY</v>
      </c>
      <c r="AF15" s="12">
        <f t="shared" si="11"/>
        <v>36</v>
      </c>
      <c r="AG15" s="107">
        <f t="shared" si="12"/>
        <v>21</v>
      </c>
    </row>
    <row r="16" spans="1:33" x14ac:dyDescent="0.2">
      <c r="A16" s="47"/>
      <c r="B16" s="48"/>
      <c r="C16" s="54">
        <v>1</v>
      </c>
      <c r="D16" s="54">
        <v>2</v>
      </c>
      <c r="E16" s="54">
        <v>3</v>
      </c>
      <c r="F16" s="54">
        <v>4</v>
      </c>
      <c r="G16" s="54">
        <v>5</v>
      </c>
      <c r="H16" s="54">
        <v>6</v>
      </c>
      <c r="I16" s="54">
        <v>7</v>
      </c>
      <c r="J16" s="54">
        <v>8</v>
      </c>
      <c r="K16" s="54">
        <v>9</v>
      </c>
      <c r="L16" s="54">
        <v>10</v>
      </c>
      <c r="M16" s="54">
        <v>11</v>
      </c>
      <c r="N16" s="54">
        <v>12</v>
      </c>
      <c r="O16" s="54">
        <v>13</v>
      </c>
      <c r="P16" s="54">
        <v>14</v>
      </c>
      <c r="Q16" s="54">
        <v>15</v>
      </c>
      <c r="R16" s="54">
        <v>16</v>
      </c>
      <c r="S16" s="54">
        <v>17</v>
      </c>
      <c r="T16" s="54">
        <v>18</v>
      </c>
      <c r="U16" s="55" t="s">
        <v>2</v>
      </c>
      <c r="V16" s="59" t="s">
        <v>17</v>
      </c>
      <c r="Y16" s="142" t="str">
        <f t="shared" si="8"/>
        <v>DONOVAN</v>
      </c>
      <c r="Z16" s="143">
        <f t="shared" si="8"/>
        <v>35</v>
      </c>
      <c r="AA16" s="143">
        <f t="shared" si="9"/>
        <v>10.5</v>
      </c>
      <c r="AB16" s="143">
        <f>RANK(Z16,$Z$14:$Z$21,0)+COUNTIF($Z$14:Z16,Z16)-1</f>
        <v>3</v>
      </c>
      <c r="AC16" s="144"/>
      <c r="AD16" s="106">
        <v>3</v>
      </c>
      <c r="AE16" s="12" t="str">
        <f t="shared" si="10"/>
        <v>DONOVAN</v>
      </c>
      <c r="AF16" s="12">
        <f t="shared" si="11"/>
        <v>35</v>
      </c>
      <c r="AG16" s="107">
        <f t="shared" si="12"/>
        <v>10.5</v>
      </c>
    </row>
    <row r="17" spans="1:33" x14ac:dyDescent="0.2">
      <c r="A17" s="49"/>
      <c r="B17" s="50"/>
      <c r="C17" s="56">
        <v>3</v>
      </c>
      <c r="D17" s="56">
        <v>4</v>
      </c>
      <c r="E17" s="56">
        <v>5</v>
      </c>
      <c r="F17" s="56">
        <v>3</v>
      </c>
      <c r="G17" s="56">
        <v>4</v>
      </c>
      <c r="H17" s="56">
        <v>5</v>
      </c>
      <c r="I17" s="56">
        <v>4</v>
      </c>
      <c r="J17" s="56">
        <v>4</v>
      </c>
      <c r="K17" s="56">
        <v>4</v>
      </c>
      <c r="L17" s="56">
        <v>3</v>
      </c>
      <c r="M17" s="56">
        <v>4</v>
      </c>
      <c r="N17" s="56">
        <v>5</v>
      </c>
      <c r="O17" s="56">
        <v>3</v>
      </c>
      <c r="P17" s="56">
        <v>4</v>
      </c>
      <c r="Q17" s="56">
        <v>5</v>
      </c>
      <c r="R17" s="56">
        <v>4</v>
      </c>
      <c r="S17" s="56">
        <v>4</v>
      </c>
      <c r="T17" s="56">
        <v>4</v>
      </c>
      <c r="U17" s="50"/>
      <c r="Y17" s="142" t="str">
        <f t="shared" si="8"/>
        <v>FINDLAY</v>
      </c>
      <c r="Z17" s="143">
        <f t="shared" si="8"/>
        <v>35</v>
      </c>
      <c r="AA17" s="143">
        <f t="shared" si="9"/>
        <v>10.5</v>
      </c>
      <c r="AB17" s="143">
        <f>RANK(Z17,$Z$14:$Z$21,0)+COUNTIF($Z$14:Z17,Z17)-1</f>
        <v>4</v>
      </c>
      <c r="AC17" s="144"/>
      <c r="AD17" s="106">
        <v>4</v>
      </c>
      <c r="AE17" s="12" t="str">
        <f t="shared" si="10"/>
        <v>FINDLAY</v>
      </c>
      <c r="AF17" s="12">
        <f t="shared" si="11"/>
        <v>35</v>
      </c>
      <c r="AG17" s="107">
        <f t="shared" si="12"/>
        <v>10.5</v>
      </c>
    </row>
    <row r="18" spans="1:33" x14ac:dyDescent="0.2">
      <c r="A18" s="49"/>
      <c r="B18" s="50"/>
      <c r="C18" s="57">
        <v>5</v>
      </c>
      <c r="D18" s="57">
        <v>3</v>
      </c>
      <c r="E18" s="57">
        <v>1</v>
      </c>
      <c r="F18" s="57">
        <v>11</v>
      </c>
      <c r="G18" s="57">
        <v>9</v>
      </c>
      <c r="H18" s="57">
        <v>17</v>
      </c>
      <c r="I18" s="57">
        <v>13</v>
      </c>
      <c r="J18" s="57">
        <v>15</v>
      </c>
      <c r="K18" s="57">
        <v>7</v>
      </c>
      <c r="L18" s="57">
        <v>18</v>
      </c>
      <c r="M18" s="57">
        <v>16</v>
      </c>
      <c r="N18" s="57">
        <v>6</v>
      </c>
      <c r="O18" s="57">
        <v>8</v>
      </c>
      <c r="P18" s="57">
        <v>10</v>
      </c>
      <c r="Q18" s="57">
        <v>12</v>
      </c>
      <c r="R18" s="57">
        <v>14</v>
      </c>
      <c r="S18" s="57">
        <v>4</v>
      </c>
      <c r="T18" s="57">
        <v>2</v>
      </c>
      <c r="U18" s="58"/>
      <c r="Y18" s="142" t="str">
        <f t="shared" si="8"/>
        <v>HOLLANDS</v>
      </c>
      <c r="Z18" s="143">
        <f t="shared" si="8"/>
        <v>35</v>
      </c>
      <c r="AA18" s="143">
        <f t="shared" si="9"/>
        <v>10.5</v>
      </c>
      <c r="AB18" s="143">
        <f>RANK(Z18,$Z$14:$Z$21,0)+COUNTIF($Z$14:Z18,Z18)-1</f>
        <v>5</v>
      </c>
      <c r="AC18" s="144"/>
      <c r="AD18" s="106">
        <v>5</v>
      </c>
      <c r="AE18" s="12" t="str">
        <f t="shared" si="10"/>
        <v>HOLLANDS</v>
      </c>
      <c r="AF18" s="12">
        <f t="shared" si="11"/>
        <v>35</v>
      </c>
      <c r="AG18" s="107">
        <f t="shared" si="12"/>
        <v>10.5</v>
      </c>
    </row>
    <row r="19" spans="1:33" x14ac:dyDescent="0.2">
      <c r="A19" s="49" t="s">
        <v>3</v>
      </c>
      <c r="B19" s="51">
        <f>B7</f>
        <v>18</v>
      </c>
      <c r="C19" s="1" t="str">
        <f t="shared" ref="C19:T19" si="13">IF($B$19&gt;=C18,"●","")&amp;(IF($B$19-18&gt;=C18,"●",""))</f>
        <v>●</v>
      </c>
      <c r="D19" s="1" t="str">
        <f t="shared" si="13"/>
        <v>●</v>
      </c>
      <c r="E19" s="1" t="str">
        <f t="shared" si="13"/>
        <v>●</v>
      </c>
      <c r="F19" s="1" t="str">
        <f t="shared" si="13"/>
        <v>●</v>
      </c>
      <c r="G19" s="1" t="str">
        <f t="shared" si="13"/>
        <v>●</v>
      </c>
      <c r="H19" s="1" t="str">
        <f t="shared" si="13"/>
        <v>●</v>
      </c>
      <c r="I19" s="1" t="str">
        <f t="shared" si="13"/>
        <v>●</v>
      </c>
      <c r="J19" s="1" t="str">
        <f t="shared" si="13"/>
        <v>●</v>
      </c>
      <c r="K19" s="1" t="str">
        <f t="shared" si="13"/>
        <v>●</v>
      </c>
      <c r="L19" s="1" t="str">
        <f t="shared" si="13"/>
        <v>●</v>
      </c>
      <c r="M19" s="1" t="str">
        <f t="shared" si="13"/>
        <v>●</v>
      </c>
      <c r="N19" s="1" t="str">
        <f t="shared" si="13"/>
        <v>●</v>
      </c>
      <c r="O19" s="1" t="str">
        <f t="shared" si="13"/>
        <v>●</v>
      </c>
      <c r="P19" s="1" t="str">
        <f t="shared" si="13"/>
        <v>●</v>
      </c>
      <c r="Q19" s="1" t="str">
        <f t="shared" si="13"/>
        <v>●</v>
      </c>
      <c r="R19" s="1" t="str">
        <f t="shared" si="13"/>
        <v>●</v>
      </c>
      <c r="S19" s="1" t="str">
        <f t="shared" si="13"/>
        <v>●</v>
      </c>
      <c r="T19" s="1" t="str">
        <f t="shared" si="13"/>
        <v>●</v>
      </c>
      <c r="U19" s="9"/>
      <c r="Y19" s="142" t="str">
        <f t="shared" si="8"/>
        <v>LAING</v>
      </c>
      <c r="Z19" s="143">
        <f t="shared" si="8"/>
        <v>35</v>
      </c>
      <c r="AA19" s="143">
        <f t="shared" si="9"/>
        <v>10.5</v>
      </c>
      <c r="AB19" s="143">
        <f>RANK(Z19,$Z$14:$Z$21,0)+COUNTIF($Z$14:Z19,Z19)-1</f>
        <v>6</v>
      </c>
      <c r="AC19" s="144"/>
      <c r="AD19" s="106">
        <v>6</v>
      </c>
      <c r="AE19" s="12" t="str">
        <f t="shared" si="10"/>
        <v>LAING</v>
      </c>
      <c r="AF19" s="12">
        <f t="shared" si="11"/>
        <v>35</v>
      </c>
      <c r="AG19" s="107">
        <f t="shared" si="12"/>
        <v>10.5</v>
      </c>
    </row>
    <row r="20" spans="1:33" x14ac:dyDescent="0.2">
      <c r="A20" s="49" t="s">
        <v>4</v>
      </c>
      <c r="B20" s="51">
        <f t="shared" ref="B20:B26" si="14">B8</f>
        <v>18</v>
      </c>
      <c r="C20" s="1" t="str">
        <f t="shared" ref="C20:T20" si="15">IF($B$20&gt;=C18,"●","")&amp;(IF($B$20-18&gt;=C18,"●",""))</f>
        <v>●</v>
      </c>
      <c r="D20" s="1" t="str">
        <f t="shared" si="15"/>
        <v>●</v>
      </c>
      <c r="E20" s="1" t="str">
        <f t="shared" si="15"/>
        <v>●</v>
      </c>
      <c r="F20" s="1" t="str">
        <f t="shared" si="15"/>
        <v>●</v>
      </c>
      <c r="G20" s="1" t="str">
        <f t="shared" si="15"/>
        <v>●</v>
      </c>
      <c r="H20" s="1" t="str">
        <f t="shared" si="15"/>
        <v>●</v>
      </c>
      <c r="I20" s="1" t="str">
        <f t="shared" si="15"/>
        <v>●</v>
      </c>
      <c r="J20" s="1" t="str">
        <f t="shared" si="15"/>
        <v>●</v>
      </c>
      <c r="K20" s="1" t="str">
        <f t="shared" si="15"/>
        <v>●</v>
      </c>
      <c r="L20" s="1" t="str">
        <f t="shared" si="15"/>
        <v>●</v>
      </c>
      <c r="M20" s="1" t="str">
        <f t="shared" si="15"/>
        <v>●</v>
      </c>
      <c r="N20" s="1" t="str">
        <f t="shared" si="15"/>
        <v>●</v>
      </c>
      <c r="O20" s="1" t="str">
        <f t="shared" si="15"/>
        <v>●</v>
      </c>
      <c r="P20" s="1" t="str">
        <f t="shared" si="15"/>
        <v>●</v>
      </c>
      <c r="Q20" s="1" t="str">
        <f t="shared" si="15"/>
        <v>●</v>
      </c>
      <c r="R20" s="1" t="str">
        <f t="shared" si="15"/>
        <v>●</v>
      </c>
      <c r="S20" s="1" t="str">
        <f t="shared" si="15"/>
        <v>●</v>
      </c>
      <c r="T20" s="1" t="str">
        <f t="shared" si="15"/>
        <v>●</v>
      </c>
      <c r="U20" s="9"/>
      <c r="Y20" s="142" t="str">
        <f t="shared" si="8"/>
        <v>REILLY</v>
      </c>
      <c r="Z20" s="143">
        <f t="shared" si="8"/>
        <v>35</v>
      </c>
      <c r="AA20" s="143">
        <f t="shared" si="9"/>
        <v>10.5</v>
      </c>
      <c r="AB20" s="143">
        <f>RANK(Z20,$Z$14:$Z$21,0)+COUNTIF($Z$14:Z20,Z20)-1</f>
        <v>7</v>
      </c>
      <c r="AC20" s="144"/>
      <c r="AD20" s="106">
        <v>7</v>
      </c>
      <c r="AE20" s="12" t="str">
        <f t="shared" si="10"/>
        <v>REILLY</v>
      </c>
      <c r="AF20" s="12">
        <f t="shared" si="11"/>
        <v>35</v>
      </c>
      <c r="AG20" s="107">
        <f t="shared" si="12"/>
        <v>10.5</v>
      </c>
    </row>
    <row r="21" spans="1:33" x14ac:dyDescent="0.2">
      <c r="A21" s="49" t="s">
        <v>5</v>
      </c>
      <c r="B21" s="51">
        <f t="shared" si="14"/>
        <v>18</v>
      </c>
      <c r="C21" s="1" t="str">
        <f t="shared" ref="C21:T21" si="16">IF($B$21&gt;=C18,"●","")&amp;(IF($B$21-18&gt;=C18,"●",""))</f>
        <v>●</v>
      </c>
      <c r="D21" s="1" t="str">
        <f t="shared" si="16"/>
        <v>●</v>
      </c>
      <c r="E21" s="1" t="str">
        <f t="shared" si="16"/>
        <v>●</v>
      </c>
      <c r="F21" s="1" t="str">
        <f t="shared" si="16"/>
        <v>●</v>
      </c>
      <c r="G21" s="1" t="str">
        <f t="shared" si="16"/>
        <v>●</v>
      </c>
      <c r="H21" s="1" t="str">
        <f t="shared" si="16"/>
        <v>●</v>
      </c>
      <c r="I21" s="1" t="str">
        <f t="shared" si="16"/>
        <v>●</v>
      </c>
      <c r="J21" s="1" t="str">
        <f t="shared" si="16"/>
        <v>●</v>
      </c>
      <c r="K21" s="1" t="str">
        <f t="shared" si="16"/>
        <v>●</v>
      </c>
      <c r="L21" s="1" t="str">
        <f t="shared" si="16"/>
        <v>●</v>
      </c>
      <c r="M21" s="1" t="str">
        <f t="shared" si="16"/>
        <v>●</v>
      </c>
      <c r="N21" s="1" t="str">
        <f t="shared" si="16"/>
        <v>●</v>
      </c>
      <c r="O21" s="1" t="str">
        <f t="shared" si="16"/>
        <v>●</v>
      </c>
      <c r="P21" s="1" t="str">
        <f t="shared" si="16"/>
        <v>●</v>
      </c>
      <c r="Q21" s="1" t="str">
        <f t="shared" si="16"/>
        <v>●</v>
      </c>
      <c r="R21" s="1" t="str">
        <f t="shared" si="16"/>
        <v>●</v>
      </c>
      <c r="S21" s="1" t="str">
        <f t="shared" si="16"/>
        <v>●</v>
      </c>
      <c r="T21" s="1" t="str">
        <f t="shared" si="16"/>
        <v>●</v>
      </c>
      <c r="U21" s="9"/>
      <c r="Y21" s="145" t="str">
        <f t="shared" si="8"/>
        <v>STONES</v>
      </c>
      <c r="Z21" s="146">
        <f t="shared" si="8"/>
        <v>35</v>
      </c>
      <c r="AA21" s="146">
        <f t="shared" si="9"/>
        <v>10.5</v>
      </c>
      <c r="AB21" s="146">
        <f>RANK(Z21,$Z$14:$Z$21,0)+COUNTIF($Z$14:Z21,Z21)-1</f>
        <v>8</v>
      </c>
      <c r="AC21" s="147"/>
      <c r="AD21" s="108">
        <v>8</v>
      </c>
      <c r="AE21" s="109" t="str">
        <f t="shared" si="10"/>
        <v>STONES</v>
      </c>
      <c r="AF21" s="109">
        <f t="shared" si="11"/>
        <v>35</v>
      </c>
      <c r="AG21" s="110">
        <f t="shared" si="12"/>
        <v>10.5</v>
      </c>
    </row>
    <row r="22" spans="1:33" x14ac:dyDescent="0.2">
      <c r="A22" s="49" t="s">
        <v>6</v>
      </c>
      <c r="B22" s="51">
        <f t="shared" si="14"/>
        <v>18</v>
      </c>
      <c r="C22" s="1" t="str">
        <f t="shared" ref="C22:T22" si="17">IF($B$22&gt;=C18,"●","")&amp;(IF($B$22-18&gt;=C18,"●",""))</f>
        <v>●</v>
      </c>
      <c r="D22" s="1" t="str">
        <f t="shared" si="17"/>
        <v>●</v>
      </c>
      <c r="E22" s="1" t="str">
        <f t="shared" si="17"/>
        <v>●</v>
      </c>
      <c r="F22" s="1" t="str">
        <f t="shared" si="17"/>
        <v>●</v>
      </c>
      <c r="G22" s="1" t="str">
        <f t="shared" si="17"/>
        <v>●</v>
      </c>
      <c r="H22" s="1" t="str">
        <f t="shared" si="17"/>
        <v>●</v>
      </c>
      <c r="I22" s="1" t="str">
        <f t="shared" si="17"/>
        <v>●</v>
      </c>
      <c r="J22" s="1" t="str">
        <f t="shared" si="17"/>
        <v>●</v>
      </c>
      <c r="K22" s="1" t="str">
        <f t="shared" si="17"/>
        <v>●</v>
      </c>
      <c r="L22" s="1" t="str">
        <f t="shared" si="17"/>
        <v>●</v>
      </c>
      <c r="M22" s="1" t="str">
        <f t="shared" si="17"/>
        <v>●</v>
      </c>
      <c r="N22" s="1" t="str">
        <f t="shared" si="17"/>
        <v>●</v>
      </c>
      <c r="O22" s="1" t="str">
        <f t="shared" si="17"/>
        <v>●</v>
      </c>
      <c r="P22" s="1" t="str">
        <f t="shared" si="17"/>
        <v>●</v>
      </c>
      <c r="Q22" s="1" t="str">
        <f t="shared" si="17"/>
        <v>●</v>
      </c>
      <c r="R22" s="1" t="str">
        <f t="shared" si="17"/>
        <v>●</v>
      </c>
      <c r="S22" s="1" t="str">
        <f t="shared" si="17"/>
        <v>●</v>
      </c>
      <c r="T22" s="1" t="str">
        <f t="shared" si="17"/>
        <v>●</v>
      </c>
      <c r="U22" s="9"/>
      <c r="Y22" s="85"/>
      <c r="Z22" s="86"/>
      <c r="AA22" s="86"/>
      <c r="AB22" s="86"/>
      <c r="AC22" s="86"/>
      <c r="AD22" s="86"/>
      <c r="AE22" s="86"/>
      <c r="AF22" s="86"/>
      <c r="AG22" s="87"/>
    </row>
    <row r="23" spans="1:33" x14ac:dyDescent="0.2">
      <c r="A23" s="49" t="s">
        <v>7</v>
      </c>
      <c r="B23" s="51">
        <f t="shared" si="14"/>
        <v>18</v>
      </c>
      <c r="C23" s="1" t="str">
        <f t="shared" ref="C23:T23" si="18">IF($B$23&gt;=C18,"●","")&amp;(IF($B$23-18&gt;=C18,"●",""))</f>
        <v>●</v>
      </c>
      <c r="D23" s="1" t="str">
        <f t="shared" si="18"/>
        <v>●</v>
      </c>
      <c r="E23" s="1" t="str">
        <f t="shared" si="18"/>
        <v>●</v>
      </c>
      <c r="F23" s="1" t="str">
        <f t="shared" si="18"/>
        <v>●</v>
      </c>
      <c r="G23" s="1" t="str">
        <f t="shared" si="18"/>
        <v>●</v>
      </c>
      <c r="H23" s="1" t="str">
        <f t="shared" si="18"/>
        <v>●</v>
      </c>
      <c r="I23" s="1" t="str">
        <f t="shared" si="18"/>
        <v>●</v>
      </c>
      <c r="J23" s="1" t="str">
        <f t="shared" si="18"/>
        <v>●</v>
      </c>
      <c r="K23" s="1" t="str">
        <f t="shared" si="18"/>
        <v>●</v>
      </c>
      <c r="L23" s="1" t="str">
        <f t="shared" si="18"/>
        <v>●</v>
      </c>
      <c r="M23" s="1" t="str">
        <f t="shared" si="18"/>
        <v>●</v>
      </c>
      <c r="N23" s="1" t="str">
        <f t="shared" si="18"/>
        <v>●</v>
      </c>
      <c r="O23" s="1" t="str">
        <f t="shared" si="18"/>
        <v>●</v>
      </c>
      <c r="P23" s="1" t="str">
        <f t="shared" si="18"/>
        <v>●</v>
      </c>
      <c r="Q23" s="1" t="str">
        <f t="shared" si="18"/>
        <v>●</v>
      </c>
      <c r="R23" s="1" t="str">
        <f t="shared" si="18"/>
        <v>●</v>
      </c>
      <c r="S23" s="1" t="str">
        <f t="shared" si="18"/>
        <v>●</v>
      </c>
      <c r="T23" s="1" t="str">
        <f t="shared" si="18"/>
        <v>●</v>
      </c>
      <c r="U23" s="9"/>
    </row>
    <row r="24" spans="1:33" x14ac:dyDescent="0.2">
      <c r="A24" s="49" t="s">
        <v>8</v>
      </c>
      <c r="B24" s="51">
        <f t="shared" si="14"/>
        <v>18</v>
      </c>
      <c r="C24" s="1" t="str">
        <f t="shared" ref="C24:T24" si="19">IF($B$24&gt;=C18,"●","")&amp;(IF($B$24-18&gt;=C18,"●",""))</f>
        <v>●</v>
      </c>
      <c r="D24" s="1" t="str">
        <f t="shared" si="19"/>
        <v>●</v>
      </c>
      <c r="E24" s="1" t="str">
        <f t="shared" si="19"/>
        <v>●</v>
      </c>
      <c r="F24" s="1" t="str">
        <f t="shared" si="19"/>
        <v>●</v>
      </c>
      <c r="G24" s="1" t="str">
        <f t="shared" si="19"/>
        <v>●</v>
      </c>
      <c r="H24" s="1" t="str">
        <f t="shared" si="19"/>
        <v>●</v>
      </c>
      <c r="I24" s="1" t="str">
        <f t="shared" si="19"/>
        <v>●</v>
      </c>
      <c r="J24" s="1" t="str">
        <f t="shared" si="19"/>
        <v>●</v>
      </c>
      <c r="K24" s="1" t="str">
        <f t="shared" si="19"/>
        <v>●</v>
      </c>
      <c r="L24" s="1" t="str">
        <f t="shared" si="19"/>
        <v>●</v>
      </c>
      <c r="M24" s="1" t="str">
        <f t="shared" si="19"/>
        <v>●</v>
      </c>
      <c r="N24" s="1" t="str">
        <f t="shared" si="19"/>
        <v>●</v>
      </c>
      <c r="O24" s="1" t="str">
        <f t="shared" si="19"/>
        <v>●</v>
      </c>
      <c r="P24" s="1" t="str">
        <f t="shared" si="19"/>
        <v>●</v>
      </c>
      <c r="Q24" s="1" t="str">
        <f t="shared" si="19"/>
        <v>●</v>
      </c>
      <c r="R24" s="1" t="str">
        <f t="shared" si="19"/>
        <v>●</v>
      </c>
      <c r="S24" s="1" t="str">
        <f t="shared" si="19"/>
        <v>●</v>
      </c>
      <c r="T24" s="1" t="str">
        <f t="shared" si="19"/>
        <v>●</v>
      </c>
      <c r="U24" s="9"/>
    </row>
    <row r="25" spans="1:33" x14ac:dyDescent="0.2">
      <c r="A25" s="49" t="s">
        <v>9</v>
      </c>
      <c r="B25" s="51">
        <f t="shared" si="14"/>
        <v>18</v>
      </c>
      <c r="C25" s="1" t="str">
        <f t="shared" ref="C25:T25" si="20">IF($B$25&gt;=C18,"●","")&amp;(IF($B$25-18&gt;=C18,"●",""))</f>
        <v>●</v>
      </c>
      <c r="D25" s="1" t="str">
        <f t="shared" si="20"/>
        <v>●</v>
      </c>
      <c r="E25" s="1" t="str">
        <f t="shared" si="20"/>
        <v>●</v>
      </c>
      <c r="F25" s="1" t="str">
        <f t="shared" si="20"/>
        <v>●</v>
      </c>
      <c r="G25" s="1" t="str">
        <f t="shared" si="20"/>
        <v>●</v>
      </c>
      <c r="H25" s="1" t="str">
        <f t="shared" si="20"/>
        <v>●</v>
      </c>
      <c r="I25" s="1" t="str">
        <f t="shared" si="20"/>
        <v>●</v>
      </c>
      <c r="J25" s="1" t="str">
        <f t="shared" si="20"/>
        <v>●</v>
      </c>
      <c r="K25" s="1" t="str">
        <f t="shared" si="20"/>
        <v>●</v>
      </c>
      <c r="L25" s="1" t="str">
        <f t="shared" si="20"/>
        <v>●</v>
      </c>
      <c r="M25" s="1" t="str">
        <f t="shared" si="20"/>
        <v>●</v>
      </c>
      <c r="N25" s="1" t="str">
        <f t="shared" si="20"/>
        <v>●</v>
      </c>
      <c r="O25" s="1" t="str">
        <f t="shared" si="20"/>
        <v>●</v>
      </c>
      <c r="P25" s="1" t="str">
        <f t="shared" si="20"/>
        <v>●</v>
      </c>
      <c r="Q25" s="1" t="str">
        <f t="shared" si="20"/>
        <v>●</v>
      </c>
      <c r="R25" s="1" t="str">
        <f t="shared" si="20"/>
        <v>●</v>
      </c>
      <c r="S25" s="1" t="str">
        <f t="shared" si="20"/>
        <v>●</v>
      </c>
      <c r="T25" s="1" t="str">
        <f t="shared" si="20"/>
        <v>●</v>
      </c>
      <c r="U25" s="9"/>
    </row>
    <row r="26" spans="1:33" x14ac:dyDescent="0.2">
      <c r="A26" s="52" t="s">
        <v>10</v>
      </c>
      <c r="B26" s="53">
        <f t="shared" si="14"/>
        <v>18</v>
      </c>
      <c r="C26" s="6" t="str">
        <f t="shared" ref="C26:T26" si="21">IF($B$26&gt;=C18,"●","")&amp;(IF($B$26-18&gt;=C18,"●",""))</f>
        <v>●</v>
      </c>
      <c r="D26" s="6" t="str">
        <f t="shared" si="21"/>
        <v>●</v>
      </c>
      <c r="E26" s="6" t="str">
        <f t="shared" si="21"/>
        <v>●</v>
      </c>
      <c r="F26" s="6" t="str">
        <f t="shared" si="21"/>
        <v>●</v>
      </c>
      <c r="G26" s="6" t="str">
        <f t="shared" si="21"/>
        <v>●</v>
      </c>
      <c r="H26" s="6" t="str">
        <f t="shared" si="21"/>
        <v>●</v>
      </c>
      <c r="I26" s="6" t="str">
        <f t="shared" si="21"/>
        <v>●</v>
      </c>
      <c r="J26" s="6" t="str">
        <f t="shared" si="21"/>
        <v>●</v>
      </c>
      <c r="K26" s="6" t="str">
        <f t="shared" si="21"/>
        <v>●</v>
      </c>
      <c r="L26" s="6" t="str">
        <f t="shared" si="21"/>
        <v>●</v>
      </c>
      <c r="M26" s="6" t="str">
        <f t="shared" si="21"/>
        <v>●</v>
      </c>
      <c r="N26" s="6" t="str">
        <f t="shared" si="21"/>
        <v>●</v>
      </c>
      <c r="O26" s="6" t="str">
        <f t="shared" si="21"/>
        <v>●</v>
      </c>
      <c r="P26" s="6" t="str">
        <f t="shared" si="21"/>
        <v>●</v>
      </c>
      <c r="Q26" s="6" t="str">
        <f t="shared" si="21"/>
        <v>●</v>
      </c>
      <c r="R26" s="6" t="str">
        <f t="shared" si="21"/>
        <v>●</v>
      </c>
      <c r="S26" s="6" t="str">
        <f t="shared" si="21"/>
        <v>●</v>
      </c>
      <c r="T26" s="6" t="str">
        <f t="shared" si="21"/>
        <v>●</v>
      </c>
      <c r="U26" s="10"/>
    </row>
    <row r="28" spans="1:33" x14ac:dyDescent="0.2">
      <c r="A28" s="47"/>
      <c r="B28" s="48"/>
      <c r="C28" s="54">
        <v>1</v>
      </c>
      <c r="D28" s="54">
        <v>2</v>
      </c>
      <c r="E28" s="54">
        <v>3</v>
      </c>
      <c r="F28" s="54">
        <v>4</v>
      </c>
      <c r="G28" s="54">
        <v>5</v>
      </c>
      <c r="H28" s="54">
        <v>6</v>
      </c>
      <c r="I28" s="54">
        <v>7</v>
      </c>
      <c r="J28" s="54">
        <v>8</v>
      </c>
      <c r="K28" s="54">
        <v>9</v>
      </c>
      <c r="L28" s="54">
        <v>10</v>
      </c>
      <c r="M28" s="54">
        <v>11</v>
      </c>
      <c r="N28" s="54">
        <v>12</v>
      </c>
      <c r="O28" s="54">
        <v>13</v>
      </c>
      <c r="P28" s="54">
        <v>14</v>
      </c>
      <c r="Q28" s="54">
        <v>15</v>
      </c>
      <c r="R28" s="54">
        <v>16</v>
      </c>
      <c r="S28" s="54">
        <v>17</v>
      </c>
      <c r="T28" s="54">
        <v>18</v>
      </c>
      <c r="U28" s="55" t="s">
        <v>2</v>
      </c>
      <c r="V28" s="59" t="s">
        <v>18</v>
      </c>
    </row>
    <row r="29" spans="1:33" x14ac:dyDescent="0.2">
      <c r="A29" s="49"/>
      <c r="B29" s="50"/>
      <c r="C29" s="56">
        <v>3</v>
      </c>
      <c r="D29" s="56">
        <v>4</v>
      </c>
      <c r="E29" s="56">
        <v>5</v>
      </c>
      <c r="F29" s="56">
        <v>3</v>
      </c>
      <c r="G29" s="56">
        <v>4</v>
      </c>
      <c r="H29" s="56">
        <v>5</v>
      </c>
      <c r="I29" s="56">
        <v>4</v>
      </c>
      <c r="J29" s="56">
        <v>4</v>
      </c>
      <c r="K29" s="56">
        <v>4</v>
      </c>
      <c r="L29" s="56">
        <v>3</v>
      </c>
      <c r="M29" s="56">
        <v>4</v>
      </c>
      <c r="N29" s="56">
        <v>5</v>
      </c>
      <c r="O29" s="56">
        <v>3</v>
      </c>
      <c r="P29" s="56">
        <v>4</v>
      </c>
      <c r="Q29" s="56">
        <v>5</v>
      </c>
      <c r="R29" s="56">
        <v>4</v>
      </c>
      <c r="S29" s="56">
        <v>4</v>
      </c>
      <c r="T29" s="56">
        <v>4</v>
      </c>
      <c r="U29" s="50"/>
    </row>
    <row r="30" spans="1:33" x14ac:dyDescent="0.2">
      <c r="A30" s="49"/>
      <c r="B30" s="50"/>
      <c r="C30" s="57">
        <v>5</v>
      </c>
      <c r="D30" s="57">
        <v>3</v>
      </c>
      <c r="E30" s="57">
        <v>1</v>
      </c>
      <c r="F30" s="57">
        <v>11</v>
      </c>
      <c r="G30" s="57">
        <v>9</v>
      </c>
      <c r="H30" s="57">
        <v>17</v>
      </c>
      <c r="I30" s="57">
        <v>13</v>
      </c>
      <c r="J30" s="57">
        <v>15</v>
      </c>
      <c r="K30" s="57">
        <v>7</v>
      </c>
      <c r="L30" s="57">
        <v>18</v>
      </c>
      <c r="M30" s="57">
        <v>16</v>
      </c>
      <c r="N30" s="57">
        <v>6</v>
      </c>
      <c r="O30" s="57">
        <v>8</v>
      </c>
      <c r="P30" s="57">
        <v>10</v>
      </c>
      <c r="Q30" s="57">
        <v>12</v>
      </c>
      <c r="R30" s="57">
        <v>14</v>
      </c>
      <c r="S30" s="57">
        <v>4</v>
      </c>
      <c r="T30" s="57">
        <v>2</v>
      </c>
      <c r="U30" s="58"/>
    </row>
    <row r="31" spans="1:33" x14ac:dyDescent="0.2">
      <c r="A31" s="49" t="s">
        <v>3</v>
      </c>
      <c r="B31" s="51">
        <v>8</v>
      </c>
      <c r="C31" s="1">
        <f t="shared" ref="C31:T31" si="22">C7+IF(C19="●",-1)+IF(C19="●●",-2)</f>
        <v>3</v>
      </c>
      <c r="D31" s="1">
        <f t="shared" si="22"/>
        <v>4</v>
      </c>
      <c r="E31" s="1">
        <f t="shared" si="22"/>
        <v>4</v>
      </c>
      <c r="F31" s="1">
        <f t="shared" si="22"/>
        <v>4</v>
      </c>
      <c r="G31" s="1">
        <f t="shared" si="22"/>
        <v>4</v>
      </c>
      <c r="H31" s="1">
        <f t="shared" si="22"/>
        <v>4</v>
      </c>
      <c r="I31" s="1">
        <f t="shared" si="22"/>
        <v>4</v>
      </c>
      <c r="J31" s="1">
        <f t="shared" si="22"/>
        <v>4</v>
      </c>
      <c r="K31" s="1">
        <f t="shared" si="22"/>
        <v>4</v>
      </c>
      <c r="L31" s="1">
        <f t="shared" si="22"/>
        <v>4</v>
      </c>
      <c r="M31" s="1">
        <f t="shared" si="22"/>
        <v>4</v>
      </c>
      <c r="N31" s="1">
        <f t="shared" si="22"/>
        <v>4</v>
      </c>
      <c r="O31" s="1">
        <f t="shared" si="22"/>
        <v>4</v>
      </c>
      <c r="P31" s="1">
        <f t="shared" si="22"/>
        <v>4</v>
      </c>
      <c r="Q31" s="1">
        <f t="shared" si="22"/>
        <v>4</v>
      </c>
      <c r="R31" s="1">
        <f t="shared" si="22"/>
        <v>4</v>
      </c>
      <c r="S31" s="1">
        <f t="shared" si="22"/>
        <v>4</v>
      </c>
      <c r="T31" s="1">
        <f t="shared" si="22"/>
        <v>4</v>
      </c>
      <c r="U31" s="9"/>
    </row>
    <row r="32" spans="1:33" x14ac:dyDescent="0.2">
      <c r="A32" s="49" t="s">
        <v>4</v>
      </c>
      <c r="B32" s="51">
        <v>17</v>
      </c>
      <c r="C32" s="1">
        <f t="shared" ref="C32:T32" si="23">C8+IF(C20="●",-1)+IF(C20="●●",-2)</f>
        <v>4</v>
      </c>
      <c r="D32" s="1">
        <f t="shared" si="23"/>
        <v>4</v>
      </c>
      <c r="E32" s="1">
        <f t="shared" si="23"/>
        <v>4</v>
      </c>
      <c r="F32" s="1">
        <f t="shared" si="23"/>
        <v>4</v>
      </c>
      <c r="G32" s="1">
        <f t="shared" si="23"/>
        <v>4</v>
      </c>
      <c r="H32" s="1">
        <f t="shared" si="23"/>
        <v>4</v>
      </c>
      <c r="I32" s="1">
        <f t="shared" si="23"/>
        <v>4</v>
      </c>
      <c r="J32" s="1">
        <f t="shared" si="23"/>
        <v>4</v>
      </c>
      <c r="K32" s="1">
        <f t="shared" si="23"/>
        <v>4</v>
      </c>
      <c r="L32" s="1">
        <f t="shared" si="23"/>
        <v>4</v>
      </c>
      <c r="M32" s="1">
        <f t="shared" si="23"/>
        <v>4</v>
      </c>
      <c r="N32" s="1">
        <f t="shared" si="23"/>
        <v>4</v>
      </c>
      <c r="O32" s="1">
        <f t="shared" si="23"/>
        <v>4</v>
      </c>
      <c r="P32" s="1">
        <f t="shared" si="23"/>
        <v>4</v>
      </c>
      <c r="Q32" s="1">
        <f t="shared" si="23"/>
        <v>4</v>
      </c>
      <c r="R32" s="1">
        <f t="shared" si="23"/>
        <v>4</v>
      </c>
      <c r="S32" s="1">
        <f t="shared" si="23"/>
        <v>4</v>
      </c>
      <c r="T32" s="1">
        <f t="shared" si="23"/>
        <v>4</v>
      </c>
      <c r="U32" s="9"/>
    </row>
    <row r="33" spans="1:22" x14ac:dyDescent="0.2">
      <c r="A33" s="49" t="s">
        <v>5</v>
      </c>
      <c r="B33" s="51">
        <v>12</v>
      </c>
      <c r="C33" s="1">
        <f t="shared" ref="C33:T33" si="24">C9+IF(C21="●",-1)+IF(C21="●●",-2)</f>
        <v>5</v>
      </c>
      <c r="D33" s="1">
        <f t="shared" si="24"/>
        <v>4</v>
      </c>
      <c r="E33" s="1">
        <f t="shared" si="24"/>
        <v>4</v>
      </c>
      <c r="F33" s="1">
        <f t="shared" si="24"/>
        <v>4</v>
      </c>
      <c r="G33" s="1">
        <f t="shared" si="24"/>
        <v>4</v>
      </c>
      <c r="H33" s="1">
        <f t="shared" si="24"/>
        <v>4</v>
      </c>
      <c r="I33" s="1">
        <f t="shared" si="24"/>
        <v>4</v>
      </c>
      <c r="J33" s="1">
        <f t="shared" si="24"/>
        <v>4</v>
      </c>
      <c r="K33" s="1">
        <f t="shared" si="24"/>
        <v>4</v>
      </c>
      <c r="L33" s="1">
        <f t="shared" si="24"/>
        <v>4</v>
      </c>
      <c r="M33" s="1">
        <f t="shared" si="24"/>
        <v>4</v>
      </c>
      <c r="N33" s="1">
        <f t="shared" si="24"/>
        <v>4</v>
      </c>
      <c r="O33" s="1">
        <f t="shared" si="24"/>
        <v>4</v>
      </c>
      <c r="P33" s="1">
        <f t="shared" si="24"/>
        <v>4</v>
      </c>
      <c r="Q33" s="1">
        <f t="shared" si="24"/>
        <v>4</v>
      </c>
      <c r="R33" s="1">
        <f t="shared" si="24"/>
        <v>4</v>
      </c>
      <c r="S33" s="1">
        <f t="shared" si="24"/>
        <v>4</v>
      </c>
      <c r="T33" s="1">
        <f t="shared" si="24"/>
        <v>4</v>
      </c>
      <c r="U33" s="9"/>
    </row>
    <row r="34" spans="1:22" x14ac:dyDescent="0.2">
      <c r="A34" s="49" t="s">
        <v>6</v>
      </c>
      <c r="B34" s="51">
        <v>13</v>
      </c>
      <c r="C34" s="1">
        <f t="shared" ref="C34:T34" si="25">C10+IF(C22="●",-1)+IF(C22="●●",-2)</f>
        <v>6</v>
      </c>
      <c r="D34" s="1">
        <f t="shared" si="25"/>
        <v>4</v>
      </c>
      <c r="E34" s="1">
        <f t="shared" si="25"/>
        <v>4</v>
      </c>
      <c r="F34" s="1">
        <f t="shared" si="25"/>
        <v>4</v>
      </c>
      <c r="G34" s="1">
        <f t="shared" si="25"/>
        <v>4</v>
      </c>
      <c r="H34" s="1">
        <f t="shared" si="25"/>
        <v>4</v>
      </c>
      <c r="I34" s="1">
        <f t="shared" si="25"/>
        <v>4</v>
      </c>
      <c r="J34" s="1">
        <f t="shared" si="25"/>
        <v>4</v>
      </c>
      <c r="K34" s="1">
        <f t="shared" si="25"/>
        <v>4</v>
      </c>
      <c r="L34" s="1">
        <f t="shared" si="25"/>
        <v>4</v>
      </c>
      <c r="M34" s="1">
        <f t="shared" si="25"/>
        <v>4</v>
      </c>
      <c r="N34" s="1">
        <f t="shared" si="25"/>
        <v>4</v>
      </c>
      <c r="O34" s="1">
        <f t="shared" si="25"/>
        <v>4</v>
      </c>
      <c r="P34" s="1">
        <f t="shared" si="25"/>
        <v>4</v>
      </c>
      <c r="Q34" s="1">
        <f t="shared" si="25"/>
        <v>4</v>
      </c>
      <c r="R34" s="1">
        <f t="shared" si="25"/>
        <v>4</v>
      </c>
      <c r="S34" s="1">
        <f t="shared" si="25"/>
        <v>4</v>
      </c>
      <c r="T34" s="1">
        <f t="shared" si="25"/>
        <v>4</v>
      </c>
      <c r="U34" s="9"/>
    </row>
    <row r="35" spans="1:22" x14ac:dyDescent="0.2">
      <c r="A35" s="49" t="s">
        <v>7</v>
      </c>
      <c r="B35" s="51">
        <v>9</v>
      </c>
      <c r="C35" s="1">
        <f t="shared" ref="C35:T35" si="26">C11+IF(C23="●",-1)+IF(C23="●●",-2)</f>
        <v>7</v>
      </c>
      <c r="D35" s="1">
        <f t="shared" si="26"/>
        <v>4</v>
      </c>
      <c r="E35" s="1">
        <f t="shared" si="26"/>
        <v>4</v>
      </c>
      <c r="F35" s="1">
        <f t="shared" si="26"/>
        <v>4</v>
      </c>
      <c r="G35" s="1">
        <f t="shared" si="26"/>
        <v>4</v>
      </c>
      <c r="H35" s="1">
        <f t="shared" si="26"/>
        <v>4</v>
      </c>
      <c r="I35" s="1">
        <f t="shared" si="26"/>
        <v>4</v>
      </c>
      <c r="J35" s="1">
        <f t="shared" si="26"/>
        <v>4</v>
      </c>
      <c r="K35" s="1">
        <f t="shared" si="26"/>
        <v>4</v>
      </c>
      <c r="L35" s="1">
        <f t="shared" si="26"/>
        <v>4</v>
      </c>
      <c r="M35" s="1">
        <f t="shared" si="26"/>
        <v>4</v>
      </c>
      <c r="N35" s="1">
        <f t="shared" si="26"/>
        <v>4</v>
      </c>
      <c r="O35" s="1">
        <f t="shared" si="26"/>
        <v>4</v>
      </c>
      <c r="P35" s="1">
        <f t="shared" si="26"/>
        <v>4</v>
      </c>
      <c r="Q35" s="1">
        <f t="shared" si="26"/>
        <v>4</v>
      </c>
      <c r="R35" s="1">
        <f t="shared" si="26"/>
        <v>4</v>
      </c>
      <c r="S35" s="1">
        <f t="shared" si="26"/>
        <v>4</v>
      </c>
      <c r="T35" s="1">
        <f t="shared" si="26"/>
        <v>4</v>
      </c>
      <c r="U35" s="9"/>
    </row>
    <row r="36" spans="1:22" x14ac:dyDescent="0.2">
      <c r="A36" s="49" t="s">
        <v>8</v>
      </c>
      <c r="B36" s="51">
        <v>3</v>
      </c>
      <c r="C36" s="1">
        <f t="shared" ref="C36:T36" si="27">C12+IF(C24="●",-1)+IF(C24="●●",-2)</f>
        <v>8</v>
      </c>
      <c r="D36" s="1">
        <f t="shared" si="27"/>
        <v>4</v>
      </c>
      <c r="E36" s="1">
        <f t="shared" si="27"/>
        <v>4</v>
      </c>
      <c r="F36" s="1">
        <f t="shared" si="27"/>
        <v>4</v>
      </c>
      <c r="G36" s="1">
        <f t="shared" si="27"/>
        <v>4</v>
      </c>
      <c r="H36" s="1">
        <f t="shared" si="27"/>
        <v>4</v>
      </c>
      <c r="I36" s="1">
        <f t="shared" si="27"/>
        <v>4</v>
      </c>
      <c r="J36" s="1">
        <f t="shared" si="27"/>
        <v>4</v>
      </c>
      <c r="K36" s="1">
        <f t="shared" si="27"/>
        <v>4</v>
      </c>
      <c r="L36" s="1">
        <f t="shared" si="27"/>
        <v>4</v>
      </c>
      <c r="M36" s="1">
        <f t="shared" si="27"/>
        <v>4</v>
      </c>
      <c r="N36" s="1">
        <f t="shared" si="27"/>
        <v>4</v>
      </c>
      <c r="O36" s="1">
        <f t="shared" si="27"/>
        <v>4</v>
      </c>
      <c r="P36" s="1">
        <f t="shared" si="27"/>
        <v>4</v>
      </c>
      <c r="Q36" s="1">
        <f t="shared" si="27"/>
        <v>4</v>
      </c>
      <c r="R36" s="1">
        <f t="shared" si="27"/>
        <v>4</v>
      </c>
      <c r="S36" s="1">
        <f t="shared" si="27"/>
        <v>4</v>
      </c>
      <c r="T36" s="1">
        <f t="shared" si="27"/>
        <v>4</v>
      </c>
      <c r="U36" s="9"/>
    </row>
    <row r="37" spans="1:22" x14ac:dyDescent="0.2">
      <c r="A37" s="49" t="s">
        <v>9</v>
      </c>
      <c r="B37" s="51">
        <v>3</v>
      </c>
      <c r="C37" s="1">
        <f t="shared" ref="C37:T37" si="28">C13+IF(C25="●",-1)+IF(C25="●●",-2)</f>
        <v>9</v>
      </c>
      <c r="D37" s="1">
        <f t="shared" si="28"/>
        <v>4</v>
      </c>
      <c r="E37" s="1">
        <f t="shared" si="28"/>
        <v>4</v>
      </c>
      <c r="F37" s="1">
        <f t="shared" si="28"/>
        <v>4</v>
      </c>
      <c r="G37" s="1">
        <f t="shared" si="28"/>
        <v>4</v>
      </c>
      <c r="H37" s="1">
        <f t="shared" si="28"/>
        <v>4</v>
      </c>
      <c r="I37" s="1">
        <f t="shared" si="28"/>
        <v>4</v>
      </c>
      <c r="J37" s="1">
        <f t="shared" si="28"/>
        <v>4</v>
      </c>
      <c r="K37" s="1">
        <f t="shared" si="28"/>
        <v>4</v>
      </c>
      <c r="L37" s="1">
        <f t="shared" si="28"/>
        <v>4</v>
      </c>
      <c r="M37" s="1">
        <f t="shared" si="28"/>
        <v>4</v>
      </c>
      <c r="N37" s="1">
        <f t="shared" si="28"/>
        <v>4</v>
      </c>
      <c r="O37" s="1">
        <f t="shared" si="28"/>
        <v>4</v>
      </c>
      <c r="P37" s="1">
        <f t="shared" si="28"/>
        <v>4</v>
      </c>
      <c r="Q37" s="1">
        <f t="shared" si="28"/>
        <v>4</v>
      </c>
      <c r="R37" s="1">
        <f t="shared" si="28"/>
        <v>4</v>
      </c>
      <c r="S37" s="1">
        <f t="shared" si="28"/>
        <v>4</v>
      </c>
      <c r="T37" s="1">
        <f t="shared" si="28"/>
        <v>4</v>
      </c>
      <c r="U37" s="9"/>
    </row>
    <row r="38" spans="1:22" x14ac:dyDescent="0.2">
      <c r="A38" s="52" t="s">
        <v>10</v>
      </c>
      <c r="B38" s="53">
        <v>15</v>
      </c>
      <c r="C38" s="6">
        <f t="shared" ref="C38:T38" si="29">C14+IF(C26="●",-1)+IF(C26="●●",-2)</f>
        <v>10</v>
      </c>
      <c r="D38" s="6">
        <f t="shared" si="29"/>
        <v>4</v>
      </c>
      <c r="E38" s="6">
        <f t="shared" si="29"/>
        <v>4</v>
      </c>
      <c r="F38" s="6">
        <f t="shared" si="29"/>
        <v>4</v>
      </c>
      <c r="G38" s="6">
        <f t="shared" si="29"/>
        <v>4</v>
      </c>
      <c r="H38" s="6">
        <f t="shared" si="29"/>
        <v>4</v>
      </c>
      <c r="I38" s="6">
        <f t="shared" si="29"/>
        <v>4</v>
      </c>
      <c r="J38" s="6">
        <f t="shared" si="29"/>
        <v>4</v>
      </c>
      <c r="K38" s="6">
        <f t="shared" si="29"/>
        <v>4</v>
      </c>
      <c r="L38" s="6">
        <f t="shared" si="29"/>
        <v>4</v>
      </c>
      <c r="M38" s="6">
        <f t="shared" si="29"/>
        <v>4</v>
      </c>
      <c r="N38" s="6">
        <f t="shared" si="29"/>
        <v>4</v>
      </c>
      <c r="O38" s="6">
        <f t="shared" si="29"/>
        <v>4</v>
      </c>
      <c r="P38" s="6">
        <f t="shared" si="29"/>
        <v>4</v>
      </c>
      <c r="Q38" s="6">
        <f t="shared" si="29"/>
        <v>4</v>
      </c>
      <c r="R38" s="6">
        <f t="shared" si="29"/>
        <v>4</v>
      </c>
      <c r="S38" s="6">
        <f t="shared" si="29"/>
        <v>4</v>
      </c>
      <c r="T38" s="6">
        <f t="shared" si="29"/>
        <v>4</v>
      </c>
      <c r="U38" s="10"/>
    </row>
    <row r="40" spans="1:22" x14ac:dyDescent="0.2">
      <c r="A40" s="47"/>
      <c r="B40" s="48"/>
      <c r="C40" s="54">
        <v>1</v>
      </c>
      <c r="D40" s="54">
        <v>2</v>
      </c>
      <c r="E40" s="54">
        <v>3</v>
      </c>
      <c r="F40" s="54">
        <v>4</v>
      </c>
      <c r="G40" s="54">
        <v>5</v>
      </c>
      <c r="H40" s="54">
        <v>6</v>
      </c>
      <c r="I40" s="54">
        <v>7</v>
      </c>
      <c r="J40" s="54">
        <v>8</v>
      </c>
      <c r="K40" s="54">
        <v>9</v>
      </c>
      <c r="L40" s="54">
        <v>10</v>
      </c>
      <c r="M40" s="54">
        <v>11</v>
      </c>
      <c r="N40" s="54">
        <v>12</v>
      </c>
      <c r="O40" s="54">
        <v>13</v>
      </c>
      <c r="P40" s="54">
        <v>14</v>
      </c>
      <c r="Q40" s="54">
        <v>15</v>
      </c>
      <c r="R40" s="54">
        <v>16</v>
      </c>
      <c r="S40" s="54">
        <v>17</v>
      </c>
      <c r="T40" s="54">
        <v>18</v>
      </c>
      <c r="U40" s="55" t="s">
        <v>2</v>
      </c>
      <c r="V40" s="59" t="s">
        <v>19</v>
      </c>
    </row>
    <row r="41" spans="1:22" x14ac:dyDescent="0.2">
      <c r="A41" s="49"/>
      <c r="B41" s="50"/>
      <c r="C41" s="56">
        <v>3</v>
      </c>
      <c r="D41" s="56">
        <v>4</v>
      </c>
      <c r="E41" s="56">
        <v>5</v>
      </c>
      <c r="F41" s="56">
        <v>3</v>
      </c>
      <c r="G41" s="56">
        <v>4</v>
      </c>
      <c r="H41" s="56">
        <v>5</v>
      </c>
      <c r="I41" s="56">
        <v>4</v>
      </c>
      <c r="J41" s="56">
        <v>4</v>
      </c>
      <c r="K41" s="56">
        <v>4</v>
      </c>
      <c r="L41" s="56">
        <v>3</v>
      </c>
      <c r="M41" s="56">
        <v>4</v>
      </c>
      <c r="N41" s="56">
        <v>5</v>
      </c>
      <c r="O41" s="56">
        <v>3</v>
      </c>
      <c r="P41" s="56">
        <v>4</v>
      </c>
      <c r="Q41" s="56">
        <v>5</v>
      </c>
      <c r="R41" s="56">
        <v>4</v>
      </c>
      <c r="S41" s="56">
        <v>4</v>
      </c>
      <c r="T41" s="56">
        <v>4</v>
      </c>
      <c r="U41" s="50"/>
    </row>
    <row r="42" spans="1:22" x14ac:dyDescent="0.2">
      <c r="A42" s="49"/>
      <c r="B42" s="50"/>
      <c r="C42" s="57">
        <v>5</v>
      </c>
      <c r="D42" s="57">
        <v>3</v>
      </c>
      <c r="E42" s="57">
        <v>1</v>
      </c>
      <c r="F42" s="57">
        <v>11</v>
      </c>
      <c r="G42" s="57">
        <v>9</v>
      </c>
      <c r="H42" s="57">
        <v>17</v>
      </c>
      <c r="I42" s="57">
        <v>13</v>
      </c>
      <c r="J42" s="57">
        <v>15</v>
      </c>
      <c r="K42" s="57">
        <v>7</v>
      </c>
      <c r="L42" s="57">
        <v>18</v>
      </c>
      <c r="M42" s="57">
        <v>16</v>
      </c>
      <c r="N42" s="57">
        <v>6</v>
      </c>
      <c r="O42" s="57">
        <v>8</v>
      </c>
      <c r="P42" s="57">
        <v>10</v>
      </c>
      <c r="Q42" s="57">
        <v>12</v>
      </c>
      <c r="R42" s="57">
        <v>14</v>
      </c>
      <c r="S42" s="57">
        <v>4</v>
      </c>
      <c r="T42" s="57">
        <v>2</v>
      </c>
      <c r="U42" s="58"/>
    </row>
    <row r="43" spans="1:22" x14ac:dyDescent="0.2">
      <c r="A43" s="49" t="s">
        <v>3</v>
      </c>
      <c r="B43" s="51">
        <v>8</v>
      </c>
      <c r="C43" s="2">
        <f>C31-C29</f>
        <v>0</v>
      </c>
      <c r="D43" s="3">
        <f t="shared" ref="D43:T43" si="30">D31-D29</f>
        <v>0</v>
      </c>
      <c r="E43" s="3">
        <f t="shared" si="30"/>
        <v>-1</v>
      </c>
      <c r="F43" s="3">
        <f t="shared" si="30"/>
        <v>1</v>
      </c>
      <c r="G43" s="3">
        <f t="shared" si="30"/>
        <v>0</v>
      </c>
      <c r="H43" s="3">
        <f t="shared" si="30"/>
        <v>-1</v>
      </c>
      <c r="I43" s="3">
        <f t="shared" si="30"/>
        <v>0</v>
      </c>
      <c r="J43" s="3">
        <f t="shared" si="30"/>
        <v>0</v>
      </c>
      <c r="K43" s="3">
        <f t="shared" si="30"/>
        <v>0</v>
      </c>
      <c r="L43" s="3">
        <f t="shared" si="30"/>
        <v>1</v>
      </c>
      <c r="M43" s="3">
        <f t="shared" si="30"/>
        <v>0</v>
      </c>
      <c r="N43" s="3">
        <f t="shared" si="30"/>
        <v>-1</v>
      </c>
      <c r="O43" s="3">
        <f t="shared" si="30"/>
        <v>1</v>
      </c>
      <c r="P43" s="3">
        <f t="shared" si="30"/>
        <v>0</v>
      </c>
      <c r="Q43" s="3">
        <f t="shared" si="30"/>
        <v>-1</v>
      </c>
      <c r="R43" s="3">
        <f t="shared" si="30"/>
        <v>0</v>
      </c>
      <c r="S43" s="3">
        <f t="shared" si="30"/>
        <v>0</v>
      </c>
      <c r="T43" s="3">
        <f t="shared" si="30"/>
        <v>0</v>
      </c>
      <c r="U43" s="4"/>
    </row>
    <row r="44" spans="1:22" x14ac:dyDescent="0.2">
      <c r="A44" s="49" t="s">
        <v>4</v>
      </c>
      <c r="B44" s="51">
        <v>17</v>
      </c>
      <c r="C44" s="11">
        <f>C32-C29</f>
        <v>1</v>
      </c>
      <c r="D44" s="1">
        <f t="shared" ref="D44:T44" si="31">D32-D29</f>
        <v>0</v>
      </c>
      <c r="E44" s="1">
        <f t="shared" si="31"/>
        <v>-1</v>
      </c>
      <c r="F44" s="1">
        <f t="shared" si="31"/>
        <v>1</v>
      </c>
      <c r="G44" s="1">
        <f t="shared" si="31"/>
        <v>0</v>
      </c>
      <c r="H44" s="1">
        <f t="shared" si="31"/>
        <v>-1</v>
      </c>
      <c r="I44" s="1">
        <f t="shared" si="31"/>
        <v>0</v>
      </c>
      <c r="J44" s="1">
        <f t="shared" si="31"/>
        <v>0</v>
      </c>
      <c r="K44" s="1">
        <f t="shared" si="31"/>
        <v>0</v>
      </c>
      <c r="L44" s="1">
        <f t="shared" si="31"/>
        <v>1</v>
      </c>
      <c r="M44" s="1">
        <f t="shared" si="31"/>
        <v>0</v>
      </c>
      <c r="N44" s="1">
        <f t="shared" si="31"/>
        <v>-1</v>
      </c>
      <c r="O44" s="1">
        <f t="shared" si="31"/>
        <v>1</v>
      </c>
      <c r="P44" s="1">
        <f t="shared" si="31"/>
        <v>0</v>
      </c>
      <c r="Q44" s="1">
        <f t="shared" si="31"/>
        <v>-1</v>
      </c>
      <c r="R44" s="1">
        <f t="shared" si="31"/>
        <v>0</v>
      </c>
      <c r="S44" s="1">
        <f t="shared" si="31"/>
        <v>0</v>
      </c>
      <c r="T44" s="1">
        <f t="shared" si="31"/>
        <v>0</v>
      </c>
      <c r="U44" s="9"/>
    </row>
    <row r="45" spans="1:22" x14ac:dyDescent="0.2">
      <c r="A45" s="49" t="s">
        <v>5</v>
      </c>
      <c r="B45" s="51">
        <v>12</v>
      </c>
      <c r="C45" s="11">
        <f>C33-C29</f>
        <v>2</v>
      </c>
      <c r="D45" s="1">
        <f t="shared" ref="D45:T45" si="32">D33-D29</f>
        <v>0</v>
      </c>
      <c r="E45" s="1">
        <f t="shared" si="32"/>
        <v>-1</v>
      </c>
      <c r="F45" s="1">
        <f t="shared" si="32"/>
        <v>1</v>
      </c>
      <c r="G45" s="1">
        <f t="shared" si="32"/>
        <v>0</v>
      </c>
      <c r="H45" s="1">
        <f t="shared" si="32"/>
        <v>-1</v>
      </c>
      <c r="I45" s="1">
        <f t="shared" si="32"/>
        <v>0</v>
      </c>
      <c r="J45" s="1">
        <f t="shared" si="32"/>
        <v>0</v>
      </c>
      <c r="K45" s="1">
        <f t="shared" si="32"/>
        <v>0</v>
      </c>
      <c r="L45" s="1">
        <f t="shared" si="32"/>
        <v>1</v>
      </c>
      <c r="M45" s="1">
        <f t="shared" si="32"/>
        <v>0</v>
      </c>
      <c r="N45" s="1">
        <f t="shared" si="32"/>
        <v>-1</v>
      </c>
      <c r="O45" s="1">
        <f t="shared" si="32"/>
        <v>1</v>
      </c>
      <c r="P45" s="1">
        <f t="shared" si="32"/>
        <v>0</v>
      </c>
      <c r="Q45" s="1">
        <f t="shared" si="32"/>
        <v>-1</v>
      </c>
      <c r="R45" s="1">
        <f t="shared" si="32"/>
        <v>0</v>
      </c>
      <c r="S45" s="1">
        <f t="shared" si="32"/>
        <v>0</v>
      </c>
      <c r="T45" s="1">
        <f t="shared" si="32"/>
        <v>0</v>
      </c>
      <c r="U45" s="9"/>
    </row>
    <row r="46" spans="1:22" x14ac:dyDescent="0.2">
      <c r="A46" s="49" t="s">
        <v>6</v>
      </c>
      <c r="B46" s="51">
        <v>13</v>
      </c>
      <c r="C46" s="11">
        <f>C34-C29</f>
        <v>3</v>
      </c>
      <c r="D46" s="1">
        <f t="shared" ref="D46:T46" si="33">D34-D29</f>
        <v>0</v>
      </c>
      <c r="E46" s="1">
        <f t="shared" si="33"/>
        <v>-1</v>
      </c>
      <c r="F46" s="1">
        <f t="shared" si="33"/>
        <v>1</v>
      </c>
      <c r="G46" s="1">
        <f t="shared" si="33"/>
        <v>0</v>
      </c>
      <c r="H46" s="1">
        <f t="shared" si="33"/>
        <v>-1</v>
      </c>
      <c r="I46" s="1">
        <f t="shared" si="33"/>
        <v>0</v>
      </c>
      <c r="J46" s="1">
        <f t="shared" si="33"/>
        <v>0</v>
      </c>
      <c r="K46" s="1">
        <f t="shared" si="33"/>
        <v>0</v>
      </c>
      <c r="L46" s="1">
        <f t="shared" si="33"/>
        <v>1</v>
      </c>
      <c r="M46" s="1">
        <f t="shared" si="33"/>
        <v>0</v>
      </c>
      <c r="N46" s="1">
        <f t="shared" si="33"/>
        <v>-1</v>
      </c>
      <c r="O46" s="1">
        <f t="shared" si="33"/>
        <v>1</v>
      </c>
      <c r="P46" s="1">
        <f t="shared" si="33"/>
        <v>0</v>
      </c>
      <c r="Q46" s="1">
        <f t="shared" si="33"/>
        <v>-1</v>
      </c>
      <c r="R46" s="1">
        <f t="shared" si="33"/>
        <v>0</v>
      </c>
      <c r="S46" s="1">
        <f t="shared" si="33"/>
        <v>0</v>
      </c>
      <c r="T46" s="1">
        <f t="shared" si="33"/>
        <v>0</v>
      </c>
      <c r="U46" s="9"/>
    </row>
    <row r="47" spans="1:22" x14ac:dyDescent="0.2">
      <c r="A47" s="49" t="s">
        <v>7</v>
      </c>
      <c r="B47" s="51">
        <v>9</v>
      </c>
      <c r="C47" s="11">
        <f>C35-C29</f>
        <v>4</v>
      </c>
      <c r="D47" s="1">
        <f t="shared" ref="D47:T47" si="34">D35-D29</f>
        <v>0</v>
      </c>
      <c r="E47" s="1">
        <f t="shared" si="34"/>
        <v>-1</v>
      </c>
      <c r="F47" s="1">
        <f t="shared" si="34"/>
        <v>1</v>
      </c>
      <c r="G47" s="1">
        <f t="shared" si="34"/>
        <v>0</v>
      </c>
      <c r="H47" s="1">
        <f t="shared" si="34"/>
        <v>-1</v>
      </c>
      <c r="I47" s="1">
        <f t="shared" si="34"/>
        <v>0</v>
      </c>
      <c r="J47" s="1">
        <f t="shared" si="34"/>
        <v>0</v>
      </c>
      <c r="K47" s="1">
        <f t="shared" si="34"/>
        <v>0</v>
      </c>
      <c r="L47" s="1">
        <f t="shared" si="34"/>
        <v>1</v>
      </c>
      <c r="M47" s="1">
        <f t="shared" si="34"/>
        <v>0</v>
      </c>
      <c r="N47" s="1">
        <f t="shared" si="34"/>
        <v>-1</v>
      </c>
      <c r="O47" s="1">
        <f t="shared" si="34"/>
        <v>1</v>
      </c>
      <c r="P47" s="1">
        <f t="shared" si="34"/>
        <v>0</v>
      </c>
      <c r="Q47" s="1">
        <f t="shared" si="34"/>
        <v>-1</v>
      </c>
      <c r="R47" s="1">
        <f t="shared" si="34"/>
        <v>0</v>
      </c>
      <c r="S47" s="1">
        <f t="shared" si="34"/>
        <v>0</v>
      </c>
      <c r="T47" s="1">
        <f t="shared" si="34"/>
        <v>0</v>
      </c>
      <c r="U47" s="9"/>
    </row>
    <row r="48" spans="1:22" x14ac:dyDescent="0.2">
      <c r="A48" s="49" t="s">
        <v>8</v>
      </c>
      <c r="B48" s="51">
        <v>3</v>
      </c>
      <c r="C48" s="11">
        <f>C36-C29</f>
        <v>5</v>
      </c>
      <c r="D48" s="1">
        <f t="shared" ref="D48:T48" si="35">D36-D29</f>
        <v>0</v>
      </c>
      <c r="E48" s="1">
        <f t="shared" si="35"/>
        <v>-1</v>
      </c>
      <c r="F48" s="1">
        <f t="shared" si="35"/>
        <v>1</v>
      </c>
      <c r="G48" s="1">
        <f t="shared" si="35"/>
        <v>0</v>
      </c>
      <c r="H48" s="1">
        <f t="shared" si="35"/>
        <v>-1</v>
      </c>
      <c r="I48" s="1">
        <f t="shared" si="35"/>
        <v>0</v>
      </c>
      <c r="J48" s="1">
        <f t="shared" si="35"/>
        <v>0</v>
      </c>
      <c r="K48" s="1">
        <f t="shared" si="35"/>
        <v>0</v>
      </c>
      <c r="L48" s="1">
        <f t="shared" si="35"/>
        <v>1</v>
      </c>
      <c r="M48" s="1">
        <f t="shared" si="35"/>
        <v>0</v>
      </c>
      <c r="N48" s="1">
        <f t="shared" si="35"/>
        <v>-1</v>
      </c>
      <c r="O48" s="1">
        <f t="shared" si="35"/>
        <v>1</v>
      </c>
      <c r="P48" s="1">
        <f t="shared" si="35"/>
        <v>0</v>
      </c>
      <c r="Q48" s="1">
        <f t="shared" si="35"/>
        <v>-1</v>
      </c>
      <c r="R48" s="1">
        <f t="shared" si="35"/>
        <v>0</v>
      </c>
      <c r="S48" s="1">
        <f t="shared" si="35"/>
        <v>0</v>
      </c>
      <c r="T48" s="1">
        <f t="shared" si="35"/>
        <v>0</v>
      </c>
      <c r="U48" s="9"/>
    </row>
    <row r="49" spans="1:22" x14ac:dyDescent="0.2">
      <c r="A49" s="49" t="s">
        <v>9</v>
      </c>
      <c r="B49" s="51">
        <v>3</v>
      </c>
      <c r="C49" s="11">
        <f>C37-C29</f>
        <v>6</v>
      </c>
      <c r="D49" s="1">
        <f t="shared" ref="D49:T49" si="36">D37-D29</f>
        <v>0</v>
      </c>
      <c r="E49" s="1">
        <f t="shared" si="36"/>
        <v>-1</v>
      </c>
      <c r="F49" s="1">
        <f t="shared" si="36"/>
        <v>1</v>
      </c>
      <c r="G49" s="1">
        <f t="shared" si="36"/>
        <v>0</v>
      </c>
      <c r="H49" s="1">
        <f t="shared" si="36"/>
        <v>-1</v>
      </c>
      <c r="I49" s="1">
        <f t="shared" si="36"/>
        <v>0</v>
      </c>
      <c r="J49" s="1">
        <f t="shared" si="36"/>
        <v>0</v>
      </c>
      <c r="K49" s="1">
        <f t="shared" si="36"/>
        <v>0</v>
      </c>
      <c r="L49" s="1">
        <f t="shared" si="36"/>
        <v>1</v>
      </c>
      <c r="M49" s="1">
        <f t="shared" si="36"/>
        <v>0</v>
      </c>
      <c r="N49" s="1">
        <f t="shared" si="36"/>
        <v>-1</v>
      </c>
      <c r="O49" s="1">
        <f t="shared" si="36"/>
        <v>1</v>
      </c>
      <c r="P49" s="1">
        <f t="shared" si="36"/>
        <v>0</v>
      </c>
      <c r="Q49" s="1">
        <f t="shared" si="36"/>
        <v>-1</v>
      </c>
      <c r="R49" s="1">
        <f t="shared" si="36"/>
        <v>0</v>
      </c>
      <c r="S49" s="1">
        <f t="shared" si="36"/>
        <v>0</v>
      </c>
      <c r="T49" s="1">
        <f t="shared" si="36"/>
        <v>0</v>
      </c>
      <c r="U49" s="9"/>
    </row>
    <row r="50" spans="1:22" x14ac:dyDescent="0.2">
      <c r="A50" s="52" t="s">
        <v>10</v>
      </c>
      <c r="B50" s="53">
        <v>15</v>
      </c>
      <c r="C50" s="5">
        <f>C38-C29</f>
        <v>7</v>
      </c>
      <c r="D50" s="6">
        <f t="shared" ref="D50:T50" si="37">D38-D29</f>
        <v>0</v>
      </c>
      <c r="E50" s="6">
        <f t="shared" si="37"/>
        <v>-1</v>
      </c>
      <c r="F50" s="6">
        <f t="shared" si="37"/>
        <v>1</v>
      </c>
      <c r="G50" s="6">
        <f t="shared" si="37"/>
        <v>0</v>
      </c>
      <c r="H50" s="6">
        <f t="shared" si="37"/>
        <v>-1</v>
      </c>
      <c r="I50" s="6">
        <f t="shared" si="37"/>
        <v>0</v>
      </c>
      <c r="J50" s="6">
        <f t="shared" si="37"/>
        <v>0</v>
      </c>
      <c r="K50" s="6">
        <f t="shared" si="37"/>
        <v>0</v>
      </c>
      <c r="L50" s="6">
        <f t="shared" si="37"/>
        <v>1</v>
      </c>
      <c r="M50" s="6">
        <f t="shared" si="37"/>
        <v>0</v>
      </c>
      <c r="N50" s="6">
        <f t="shared" si="37"/>
        <v>-1</v>
      </c>
      <c r="O50" s="6">
        <f t="shared" si="37"/>
        <v>1</v>
      </c>
      <c r="P50" s="6">
        <f t="shared" si="37"/>
        <v>0</v>
      </c>
      <c r="Q50" s="6">
        <f t="shared" si="37"/>
        <v>-1</v>
      </c>
      <c r="R50" s="6">
        <f t="shared" si="37"/>
        <v>0</v>
      </c>
      <c r="S50" s="6">
        <f t="shared" si="37"/>
        <v>0</v>
      </c>
      <c r="T50" s="6">
        <f t="shared" si="37"/>
        <v>0</v>
      </c>
      <c r="U50" s="10"/>
    </row>
    <row r="52" spans="1:22" x14ac:dyDescent="0.2">
      <c r="A52" s="47"/>
      <c r="B52" s="48"/>
      <c r="C52" s="54">
        <v>1</v>
      </c>
      <c r="D52" s="54">
        <v>2</v>
      </c>
      <c r="E52" s="54">
        <v>3</v>
      </c>
      <c r="F52" s="54">
        <v>4</v>
      </c>
      <c r="G52" s="54">
        <v>5</v>
      </c>
      <c r="H52" s="54">
        <v>6</v>
      </c>
      <c r="I52" s="54">
        <v>7</v>
      </c>
      <c r="J52" s="54">
        <v>8</v>
      </c>
      <c r="K52" s="54">
        <v>9</v>
      </c>
      <c r="L52" s="54">
        <v>10</v>
      </c>
      <c r="M52" s="54">
        <v>11</v>
      </c>
      <c r="N52" s="54">
        <v>12</v>
      </c>
      <c r="O52" s="54">
        <v>13</v>
      </c>
      <c r="P52" s="54">
        <v>14</v>
      </c>
      <c r="Q52" s="54">
        <v>15</v>
      </c>
      <c r="R52" s="54">
        <v>16</v>
      </c>
      <c r="S52" s="54">
        <v>17</v>
      </c>
      <c r="T52" s="54">
        <v>18</v>
      </c>
      <c r="U52" s="55" t="s">
        <v>2</v>
      </c>
      <c r="V52" s="59" t="s">
        <v>19</v>
      </c>
    </row>
    <row r="53" spans="1:22" x14ac:dyDescent="0.2">
      <c r="A53" s="49"/>
      <c r="B53" s="50"/>
      <c r="C53" s="56">
        <v>3</v>
      </c>
      <c r="D53" s="56">
        <v>4</v>
      </c>
      <c r="E53" s="56">
        <v>5</v>
      </c>
      <c r="F53" s="56">
        <v>3</v>
      </c>
      <c r="G53" s="56">
        <v>4</v>
      </c>
      <c r="H53" s="56">
        <v>5</v>
      </c>
      <c r="I53" s="56">
        <v>4</v>
      </c>
      <c r="J53" s="56">
        <v>4</v>
      </c>
      <c r="K53" s="56">
        <v>4</v>
      </c>
      <c r="L53" s="56">
        <v>3</v>
      </c>
      <c r="M53" s="56">
        <v>4</v>
      </c>
      <c r="N53" s="56">
        <v>5</v>
      </c>
      <c r="O53" s="56">
        <v>3</v>
      </c>
      <c r="P53" s="56">
        <v>4</v>
      </c>
      <c r="Q53" s="56">
        <v>5</v>
      </c>
      <c r="R53" s="56">
        <v>4</v>
      </c>
      <c r="S53" s="56">
        <v>4</v>
      </c>
      <c r="T53" s="56">
        <v>4</v>
      </c>
      <c r="U53" s="50"/>
    </row>
    <row r="54" spans="1:22" x14ac:dyDescent="0.2">
      <c r="A54" s="49"/>
      <c r="B54" s="50"/>
      <c r="C54" s="57">
        <v>5</v>
      </c>
      <c r="D54" s="57">
        <v>3</v>
      </c>
      <c r="E54" s="57">
        <v>1</v>
      </c>
      <c r="F54" s="57">
        <v>11</v>
      </c>
      <c r="G54" s="57">
        <v>9</v>
      </c>
      <c r="H54" s="57">
        <v>17</v>
      </c>
      <c r="I54" s="57">
        <v>13</v>
      </c>
      <c r="J54" s="57">
        <v>15</v>
      </c>
      <c r="K54" s="57">
        <v>7</v>
      </c>
      <c r="L54" s="57">
        <v>18</v>
      </c>
      <c r="M54" s="57">
        <v>16</v>
      </c>
      <c r="N54" s="57">
        <v>6</v>
      </c>
      <c r="O54" s="57">
        <v>8</v>
      </c>
      <c r="P54" s="57">
        <v>10</v>
      </c>
      <c r="Q54" s="57">
        <v>12</v>
      </c>
      <c r="R54" s="57">
        <v>14</v>
      </c>
      <c r="S54" s="57">
        <v>4</v>
      </c>
      <c r="T54" s="57">
        <v>2</v>
      </c>
      <c r="U54" s="58"/>
    </row>
    <row r="55" spans="1:22" x14ac:dyDescent="0.2">
      <c r="A55" s="49" t="s">
        <v>3</v>
      </c>
      <c r="B55" s="51">
        <v>8</v>
      </c>
      <c r="C55" s="2">
        <f>IF(C43=-4,6)+(IF(C43=-3,5))+(IF(C43=-2,4))+(IF(C43=-1,3))+(IF(C43=0,2))+(IF(C43=1,1))+(IF(C43&gt;=2,0))</f>
        <v>2</v>
      </c>
      <c r="D55" s="3">
        <f t="shared" ref="D55:T55" si="38">IF(D43=-4,6)+(IF(D43=-3,5))+(IF(D43=-2,4))+(IF(D43=-1,3))+(IF(D43=0,2))+(IF(D43=1,1))+(IF(D43&gt;=2,0))</f>
        <v>2</v>
      </c>
      <c r="E55" s="3">
        <f t="shared" si="38"/>
        <v>3</v>
      </c>
      <c r="F55" s="3">
        <f t="shared" si="38"/>
        <v>1</v>
      </c>
      <c r="G55" s="3">
        <f t="shared" si="38"/>
        <v>2</v>
      </c>
      <c r="H55" s="3">
        <f t="shared" si="38"/>
        <v>3</v>
      </c>
      <c r="I55" s="3">
        <f t="shared" si="38"/>
        <v>2</v>
      </c>
      <c r="J55" s="3">
        <f t="shared" si="38"/>
        <v>2</v>
      </c>
      <c r="K55" s="3">
        <f t="shared" si="38"/>
        <v>2</v>
      </c>
      <c r="L55" s="3">
        <f t="shared" si="38"/>
        <v>1</v>
      </c>
      <c r="M55" s="3">
        <f t="shared" si="38"/>
        <v>2</v>
      </c>
      <c r="N55" s="3">
        <f t="shared" si="38"/>
        <v>3</v>
      </c>
      <c r="O55" s="3">
        <f t="shared" si="38"/>
        <v>1</v>
      </c>
      <c r="P55" s="3">
        <f t="shared" si="38"/>
        <v>2</v>
      </c>
      <c r="Q55" s="3">
        <f t="shared" si="38"/>
        <v>3</v>
      </c>
      <c r="R55" s="3">
        <f t="shared" si="38"/>
        <v>2</v>
      </c>
      <c r="S55" s="3">
        <f t="shared" si="38"/>
        <v>2</v>
      </c>
      <c r="T55" s="3">
        <f t="shared" si="38"/>
        <v>2</v>
      </c>
      <c r="U55" s="16">
        <f>SUM(C55:T55)</f>
        <v>37</v>
      </c>
    </row>
    <row r="56" spans="1:22" x14ac:dyDescent="0.2">
      <c r="A56" s="49" t="s">
        <v>4</v>
      </c>
      <c r="B56" s="51">
        <v>17</v>
      </c>
      <c r="C56" s="11">
        <f t="shared" ref="C56:T62" si="39">IF(C44=-4,6)+(IF(C44=-3,5))+(IF(C44=-2,4))+(IF(C44=-1,3))+(IF(C44=0,2))+(IF(C44=1,1))+(IF(C44&gt;=2,0))</f>
        <v>1</v>
      </c>
      <c r="D56" s="1">
        <f t="shared" si="39"/>
        <v>2</v>
      </c>
      <c r="E56" s="1">
        <f t="shared" si="39"/>
        <v>3</v>
      </c>
      <c r="F56" s="1">
        <f t="shared" si="39"/>
        <v>1</v>
      </c>
      <c r="G56" s="1">
        <f t="shared" si="39"/>
        <v>2</v>
      </c>
      <c r="H56" s="1">
        <f t="shared" si="39"/>
        <v>3</v>
      </c>
      <c r="I56" s="1">
        <f t="shared" si="39"/>
        <v>2</v>
      </c>
      <c r="J56" s="1">
        <f t="shared" si="39"/>
        <v>2</v>
      </c>
      <c r="K56" s="1">
        <f t="shared" si="39"/>
        <v>2</v>
      </c>
      <c r="L56" s="1">
        <f t="shared" si="39"/>
        <v>1</v>
      </c>
      <c r="M56" s="1">
        <f t="shared" si="39"/>
        <v>2</v>
      </c>
      <c r="N56" s="1">
        <f t="shared" si="39"/>
        <v>3</v>
      </c>
      <c r="O56" s="1">
        <f t="shared" si="39"/>
        <v>1</v>
      </c>
      <c r="P56" s="1">
        <f t="shared" si="39"/>
        <v>2</v>
      </c>
      <c r="Q56" s="1">
        <f t="shared" si="39"/>
        <v>3</v>
      </c>
      <c r="R56" s="1">
        <f t="shared" si="39"/>
        <v>2</v>
      </c>
      <c r="S56" s="1">
        <f t="shared" si="39"/>
        <v>2</v>
      </c>
      <c r="T56" s="1">
        <f t="shared" si="39"/>
        <v>2</v>
      </c>
      <c r="U56" s="8">
        <f t="shared" ref="U56:U62" si="40">SUM(C56:T56)</f>
        <v>36</v>
      </c>
    </row>
    <row r="57" spans="1:22" x14ac:dyDescent="0.2">
      <c r="A57" s="49" t="s">
        <v>5</v>
      </c>
      <c r="B57" s="51">
        <v>12</v>
      </c>
      <c r="C57" s="11">
        <f t="shared" si="39"/>
        <v>0</v>
      </c>
      <c r="D57" s="1">
        <f t="shared" si="39"/>
        <v>2</v>
      </c>
      <c r="E57" s="1">
        <f t="shared" si="39"/>
        <v>3</v>
      </c>
      <c r="F57" s="1">
        <f t="shared" si="39"/>
        <v>1</v>
      </c>
      <c r="G57" s="1">
        <f t="shared" si="39"/>
        <v>2</v>
      </c>
      <c r="H57" s="1">
        <f t="shared" si="39"/>
        <v>3</v>
      </c>
      <c r="I57" s="1">
        <f t="shared" si="39"/>
        <v>2</v>
      </c>
      <c r="J57" s="14">
        <f t="shared" si="39"/>
        <v>2</v>
      </c>
      <c r="K57" s="1">
        <f t="shared" si="39"/>
        <v>2</v>
      </c>
      <c r="L57" s="1">
        <f t="shared" si="39"/>
        <v>1</v>
      </c>
      <c r="M57" s="1">
        <f t="shared" si="39"/>
        <v>2</v>
      </c>
      <c r="N57" s="1">
        <f t="shared" si="39"/>
        <v>3</v>
      </c>
      <c r="O57" s="1">
        <f t="shared" si="39"/>
        <v>1</v>
      </c>
      <c r="P57" s="1">
        <f t="shared" si="39"/>
        <v>2</v>
      </c>
      <c r="Q57" s="1">
        <f t="shared" si="39"/>
        <v>3</v>
      </c>
      <c r="R57" s="1">
        <f t="shared" si="39"/>
        <v>2</v>
      </c>
      <c r="S57" s="1">
        <f t="shared" si="39"/>
        <v>2</v>
      </c>
      <c r="T57" s="1">
        <f t="shared" si="39"/>
        <v>2</v>
      </c>
      <c r="U57" s="8">
        <f t="shared" si="40"/>
        <v>35</v>
      </c>
    </row>
    <row r="58" spans="1:22" x14ac:dyDescent="0.2">
      <c r="A58" s="49" t="s">
        <v>6</v>
      </c>
      <c r="B58" s="51">
        <v>13</v>
      </c>
      <c r="C58" s="11">
        <f t="shared" si="39"/>
        <v>0</v>
      </c>
      <c r="D58" s="1">
        <f t="shared" si="39"/>
        <v>2</v>
      </c>
      <c r="E58" s="1">
        <f t="shared" si="39"/>
        <v>3</v>
      </c>
      <c r="F58" s="1">
        <f t="shared" si="39"/>
        <v>1</v>
      </c>
      <c r="G58" s="1">
        <f t="shared" si="39"/>
        <v>2</v>
      </c>
      <c r="H58" s="1">
        <f t="shared" si="39"/>
        <v>3</v>
      </c>
      <c r="I58" s="1">
        <f t="shared" si="39"/>
        <v>2</v>
      </c>
      <c r="J58" s="14">
        <f t="shared" si="39"/>
        <v>2</v>
      </c>
      <c r="K58" s="1">
        <f t="shared" si="39"/>
        <v>2</v>
      </c>
      <c r="L58" s="1">
        <f t="shared" si="39"/>
        <v>1</v>
      </c>
      <c r="M58" s="1">
        <f t="shared" si="39"/>
        <v>2</v>
      </c>
      <c r="N58" s="1">
        <f t="shared" si="39"/>
        <v>3</v>
      </c>
      <c r="O58" s="1">
        <f t="shared" si="39"/>
        <v>1</v>
      </c>
      <c r="P58" s="1">
        <f t="shared" si="39"/>
        <v>2</v>
      </c>
      <c r="Q58" s="1">
        <f t="shared" si="39"/>
        <v>3</v>
      </c>
      <c r="R58" s="1">
        <f t="shared" si="39"/>
        <v>2</v>
      </c>
      <c r="S58" s="1">
        <f t="shared" si="39"/>
        <v>2</v>
      </c>
      <c r="T58" s="1">
        <f t="shared" si="39"/>
        <v>2</v>
      </c>
      <c r="U58" s="8">
        <f t="shared" si="40"/>
        <v>35</v>
      </c>
    </row>
    <row r="59" spans="1:22" x14ac:dyDescent="0.2">
      <c r="A59" s="49" t="s">
        <v>7</v>
      </c>
      <c r="B59" s="51">
        <v>9</v>
      </c>
      <c r="C59" s="11">
        <f t="shared" si="39"/>
        <v>0</v>
      </c>
      <c r="D59" s="1">
        <f t="shared" si="39"/>
        <v>2</v>
      </c>
      <c r="E59" s="1">
        <f t="shared" si="39"/>
        <v>3</v>
      </c>
      <c r="F59" s="1">
        <f t="shared" si="39"/>
        <v>1</v>
      </c>
      <c r="G59" s="1">
        <f t="shared" si="39"/>
        <v>2</v>
      </c>
      <c r="H59" s="1">
        <f t="shared" si="39"/>
        <v>3</v>
      </c>
      <c r="I59" s="1">
        <f t="shared" si="39"/>
        <v>2</v>
      </c>
      <c r="J59" s="15">
        <f t="shared" si="39"/>
        <v>2</v>
      </c>
      <c r="K59" s="13">
        <f t="shared" si="39"/>
        <v>2</v>
      </c>
      <c r="L59" s="1">
        <f t="shared" si="39"/>
        <v>1</v>
      </c>
      <c r="M59" s="1">
        <f t="shared" si="39"/>
        <v>2</v>
      </c>
      <c r="N59" s="1">
        <f t="shared" si="39"/>
        <v>3</v>
      </c>
      <c r="O59" s="1">
        <f t="shared" si="39"/>
        <v>1</v>
      </c>
      <c r="P59" s="1">
        <f t="shared" si="39"/>
        <v>2</v>
      </c>
      <c r="Q59" s="1">
        <f t="shared" si="39"/>
        <v>3</v>
      </c>
      <c r="R59" s="1">
        <f t="shared" si="39"/>
        <v>2</v>
      </c>
      <c r="S59" s="1">
        <f t="shared" si="39"/>
        <v>2</v>
      </c>
      <c r="T59" s="1">
        <f t="shared" si="39"/>
        <v>2</v>
      </c>
      <c r="U59" s="8">
        <f t="shared" si="40"/>
        <v>35</v>
      </c>
    </row>
    <row r="60" spans="1:22" x14ac:dyDescent="0.2">
      <c r="A60" s="49" t="s">
        <v>8</v>
      </c>
      <c r="B60" s="51">
        <v>3</v>
      </c>
      <c r="C60" s="11">
        <f t="shared" si="39"/>
        <v>0</v>
      </c>
      <c r="D60" s="1">
        <f t="shared" si="39"/>
        <v>2</v>
      </c>
      <c r="E60" s="1">
        <f t="shared" si="39"/>
        <v>3</v>
      </c>
      <c r="F60" s="1">
        <f t="shared" si="39"/>
        <v>1</v>
      </c>
      <c r="G60" s="1">
        <f t="shared" si="39"/>
        <v>2</v>
      </c>
      <c r="H60" s="1">
        <f t="shared" si="39"/>
        <v>3</v>
      </c>
      <c r="I60" s="1">
        <f t="shared" si="39"/>
        <v>2</v>
      </c>
      <c r="J60" s="1">
        <f t="shared" si="39"/>
        <v>2</v>
      </c>
      <c r="K60" s="1">
        <f t="shared" si="39"/>
        <v>2</v>
      </c>
      <c r="L60" s="1">
        <f t="shared" si="39"/>
        <v>1</v>
      </c>
      <c r="M60" s="1">
        <f t="shared" si="39"/>
        <v>2</v>
      </c>
      <c r="N60" s="1">
        <f t="shared" si="39"/>
        <v>3</v>
      </c>
      <c r="O60" s="1">
        <f t="shared" si="39"/>
        <v>1</v>
      </c>
      <c r="P60" s="1">
        <f t="shared" si="39"/>
        <v>2</v>
      </c>
      <c r="Q60" s="1">
        <f t="shared" si="39"/>
        <v>3</v>
      </c>
      <c r="R60" s="1">
        <f t="shared" si="39"/>
        <v>2</v>
      </c>
      <c r="S60" s="1">
        <f t="shared" si="39"/>
        <v>2</v>
      </c>
      <c r="T60" s="1">
        <f t="shared" si="39"/>
        <v>2</v>
      </c>
      <c r="U60" s="8">
        <f t="shared" si="40"/>
        <v>35</v>
      </c>
    </row>
    <row r="61" spans="1:22" x14ac:dyDescent="0.2">
      <c r="A61" s="49" t="s">
        <v>9</v>
      </c>
      <c r="B61" s="51">
        <v>3</v>
      </c>
      <c r="C61" s="11">
        <f t="shared" si="39"/>
        <v>0</v>
      </c>
      <c r="D61" s="1">
        <f t="shared" si="39"/>
        <v>2</v>
      </c>
      <c r="E61" s="1">
        <f t="shared" si="39"/>
        <v>3</v>
      </c>
      <c r="F61" s="1">
        <f t="shared" si="39"/>
        <v>1</v>
      </c>
      <c r="G61" s="1">
        <f t="shared" si="39"/>
        <v>2</v>
      </c>
      <c r="H61" s="1">
        <f t="shared" si="39"/>
        <v>3</v>
      </c>
      <c r="I61" s="1">
        <f t="shared" si="39"/>
        <v>2</v>
      </c>
      <c r="J61" s="1">
        <f t="shared" si="39"/>
        <v>2</v>
      </c>
      <c r="K61" s="1">
        <f t="shared" si="39"/>
        <v>2</v>
      </c>
      <c r="L61" s="1">
        <f t="shared" si="39"/>
        <v>1</v>
      </c>
      <c r="M61" s="1">
        <f t="shared" si="39"/>
        <v>2</v>
      </c>
      <c r="N61" s="1">
        <f t="shared" si="39"/>
        <v>3</v>
      </c>
      <c r="O61" s="1">
        <f t="shared" si="39"/>
        <v>1</v>
      </c>
      <c r="P61" s="1">
        <f t="shared" si="39"/>
        <v>2</v>
      </c>
      <c r="Q61" s="1">
        <f t="shared" si="39"/>
        <v>3</v>
      </c>
      <c r="R61" s="1">
        <f t="shared" si="39"/>
        <v>2</v>
      </c>
      <c r="S61" s="1">
        <f t="shared" si="39"/>
        <v>2</v>
      </c>
      <c r="T61" s="1">
        <f t="shared" si="39"/>
        <v>2</v>
      </c>
      <c r="U61" s="8">
        <f t="shared" si="40"/>
        <v>35</v>
      </c>
    </row>
    <row r="62" spans="1:22" x14ac:dyDescent="0.2">
      <c r="A62" s="52" t="s">
        <v>10</v>
      </c>
      <c r="B62" s="53">
        <v>15</v>
      </c>
      <c r="C62" s="5">
        <f t="shared" si="39"/>
        <v>0</v>
      </c>
      <c r="D62" s="6">
        <f t="shared" si="39"/>
        <v>2</v>
      </c>
      <c r="E62" s="6">
        <f t="shared" si="39"/>
        <v>3</v>
      </c>
      <c r="F62" s="6">
        <f t="shared" si="39"/>
        <v>1</v>
      </c>
      <c r="G62" s="6">
        <f t="shared" si="39"/>
        <v>2</v>
      </c>
      <c r="H62" s="6">
        <f t="shared" si="39"/>
        <v>3</v>
      </c>
      <c r="I62" s="6">
        <f t="shared" si="39"/>
        <v>2</v>
      </c>
      <c r="J62" s="6">
        <f t="shared" si="39"/>
        <v>2</v>
      </c>
      <c r="K62" s="6">
        <f t="shared" si="39"/>
        <v>2</v>
      </c>
      <c r="L62" s="6">
        <f t="shared" si="39"/>
        <v>1</v>
      </c>
      <c r="M62" s="6">
        <f t="shared" si="39"/>
        <v>2</v>
      </c>
      <c r="N62" s="6">
        <f t="shared" si="39"/>
        <v>3</v>
      </c>
      <c r="O62" s="6">
        <f t="shared" si="39"/>
        <v>1</v>
      </c>
      <c r="P62" s="6">
        <f t="shared" si="39"/>
        <v>2</v>
      </c>
      <c r="Q62" s="6">
        <f t="shared" si="39"/>
        <v>3</v>
      </c>
      <c r="R62" s="6">
        <f t="shared" si="39"/>
        <v>2</v>
      </c>
      <c r="S62" s="6">
        <f t="shared" si="39"/>
        <v>2</v>
      </c>
      <c r="T62" s="6">
        <f t="shared" si="39"/>
        <v>2</v>
      </c>
      <c r="U62" s="7">
        <f t="shared" si="40"/>
        <v>35</v>
      </c>
    </row>
  </sheetData>
  <mergeCells count="1">
    <mergeCell ref="Y1:A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260F-1DFD-9245-83B0-263C7EFED177}">
  <dimension ref="A3:W106"/>
  <sheetViews>
    <sheetView topLeftCell="A42" zoomScale="65" workbookViewId="0">
      <selection activeCell="A72" sqref="A72:I81"/>
    </sheetView>
  </sheetViews>
  <sheetFormatPr baseColWidth="10" defaultColWidth="8.83203125" defaultRowHeight="15" x14ac:dyDescent="0.2"/>
  <cols>
    <col min="1" max="1" width="31.83203125" customWidth="1"/>
    <col min="2" max="2" width="10.1640625" customWidth="1"/>
    <col min="7" max="7" width="10" customWidth="1"/>
  </cols>
  <sheetData>
    <row r="3" spans="1:4" x14ac:dyDescent="0.2">
      <c r="A3" s="80"/>
      <c r="B3" s="81" t="s">
        <v>28</v>
      </c>
      <c r="C3" s="81"/>
      <c r="D3" s="82"/>
    </row>
    <row r="4" spans="1:4" x14ac:dyDescent="0.2">
      <c r="A4" s="83"/>
      <c r="D4" s="84"/>
    </row>
    <row r="5" spans="1:4" x14ac:dyDescent="0.2">
      <c r="A5" s="83"/>
      <c r="D5" s="84"/>
    </row>
    <row r="6" spans="1:4" x14ac:dyDescent="0.2">
      <c r="A6" s="111" t="s">
        <v>30</v>
      </c>
      <c r="B6" t="s">
        <v>29</v>
      </c>
      <c r="C6" t="s">
        <v>31</v>
      </c>
      <c r="D6" s="84" t="s">
        <v>32</v>
      </c>
    </row>
    <row r="7" spans="1:4" x14ac:dyDescent="0.2">
      <c r="A7" s="83">
        <f>'RND 5 MP'!AD14</f>
        <v>1</v>
      </c>
      <c r="B7" t="str">
        <f>'RND 5 MP'!AE14</f>
        <v>LAING</v>
      </c>
      <c r="C7">
        <f>'RND 5 MP'!AF14</f>
        <v>54</v>
      </c>
      <c r="D7" s="84">
        <f>'RND 5 MP'!AG14</f>
        <v>24</v>
      </c>
    </row>
    <row r="8" spans="1:4" x14ac:dyDescent="0.2">
      <c r="A8" s="83">
        <f>'RND 5 MP'!AD15</f>
        <v>2</v>
      </c>
      <c r="B8" t="str">
        <f>'RND 5 MP'!AE15</f>
        <v>FINDLAY</v>
      </c>
      <c r="C8">
        <f>'RND 5 MP'!AF15</f>
        <v>28</v>
      </c>
      <c r="D8" s="84">
        <f>'RND 5 MP'!AG15</f>
        <v>21</v>
      </c>
    </row>
    <row r="9" spans="1:4" x14ac:dyDescent="0.2">
      <c r="A9" s="83">
        <f>'RND 5 MP'!AD16</f>
        <v>3</v>
      </c>
      <c r="B9" t="str">
        <f>'RND 5 MP'!AE16</f>
        <v>DEY</v>
      </c>
      <c r="C9">
        <f>'RND 5 MP'!AF16</f>
        <v>24</v>
      </c>
      <c r="D9" s="84">
        <f>'RND 5 MP'!AG16</f>
        <v>16.5</v>
      </c>
    </row>
    <row r="10" spans="1:4" x14ac:dyDescent="0.2">
      <c r="A10" s="83">
        <f>'RND 5 MP'!AD17</f>
        <v>4</v>
      </c>
      <c r="B10" t="str">
        <f>'RND 5 MP'!AE17</f>
        <v>HOLLANDS</v>
      </c>
      <c r="C10">
        <f>'RND 5 MP'!AF17</f>
        <v>24</v>
      </c>
      <c r="D10" s="84">
        <f>'RND 5 MP'!AG17</f>
        <v>16.5</v>
      </c>
    </row>
    <row r="11" spans="1:4" x14ac:dyDescent="0.2">
      <c r="A11" s="83">
        <f>'RND 5 MP'!AD18</f>
        <v>5</v>
      </c>
      <c r="B11" t="str">
        <f>'RND 5 MP'!AE18</f>
        <v>DONOVAN</v>
      </c>
      <c r="C11">
        <f>'RND 5 MP'!AF18</f>
        <v>22</v>
      </c>
      <c r="D11" s="84">
        <f>'RND 5 MP'!AG18</f>
        <v>12</v>
      </c>
    </row>
    <row r="12" spans="1:4" x14ac:dyDescent="0.2">
      <c r="A12" s="83">
        <f>'RND 5 MP'!AD19</f>
        <v>6</v>
      </c>
      <c r="B12" t="str">
        <f>'RND 5 MP'!AE19</f>
        <v>REILLY</v>
      </c>
      <c r="C12">
        <f>'RND 5 MP'!AF19</f>
        <v>8</v>
      </c>
      <c r="D12" s="84">
        <f>'RND 5 MP'!AG19</f>
        <v>9</v>
      </c>
    </row>
    <row r="13" spans="1:4" x14ac:dyDescent="0.2">
      <c r="A13" s="83">
        <f>'RND 5 MP'!AD20</f>
        <v>7</v>
      </c>
      <c r="B13" t="str">
        <f>'RND 5 MP'!AE20</f>
        <v>STONES</v>
      </c>
      <c r="C13">
        <f>'RND 5 MP'!AF20</f>
        <v>6</v>
      </c>
      <c r="D13" s="84">
        <f>'RND 5 MP'!AG20</f>
        <v>6</v>
      </c>
    </row>
    <row r="14" spans="1:4" x14ac:dyDescent="0.2">
      <c r="A14" s="83">
        <f>'RND 5 MP'!AD21</f>
        <v>8</v>
      </c>
      <c r="B14" t="str">
        <f>'RND 5 MP'!AE21</f>
        <v>BELLIS</v>
      </c>
      <c r="C14">
        <f>'RND 5 MP'!AF21</f>
        <v>4</v>
      </c>
      <c r="D14" s="84">
        <f>'RND 5 MP'!AG21</f>
        <v>3</v>
      </c>
    </row>
    <row r="15" spans="1:4" x14ac:dyDescent="0.2">
      <c r="A15" s="85"/>
      <c r="B15" s="86"/>
      <c r="C15" s="86"/>
      <c r="D15" s="87"/>
    </row>
    <row r="21" spans="1:23" x14ac:dyDescent="0.2">
      <c r="A21" t="s">
        <v>102</v>
      </c>
    </row>
    <row r="22" spans="1:23" x14ac:dyDescent="0.2">
      <c r="A22" s="80" t="s">
        <v>1</v>
      </c>
      <c r="B22" s="77" t="s">
        <v>15</v>
      </c>
      <c r="D22" s="96" t="s">
        <v>25</v>
      </c>
      <c r="E22" s="92">
        <v>1</v>
      </c>
      <c r="F22" s="92">
        <v>2</v>
      </c>
      <c r="G22" s="92">
        <v>3</v>
      </c>
      <c r="H22" s="92">
        <v>4</v>
      </c>
      <c r="I22" s="92">
        <v>5</v>
      </c>
      <c r="J22" s="92">
        <v>6</v>
      </c>
      <c r="K22" s="92">
        <v>7</v>
      </c>
      <c r="L22" s="92">
        <v>8</v>
      </c>
      <c r="M22" s="92">
        <v>9</v>
      </c>
      <c r="N22" s="92">
        <v>10</v>
      </c>
      <c r="O22" s="92">
        <v>11</v>
      </c>
      <c r="P22" s="92">
        <v>12</v>
      </c>
      <c r="Q22" s="92">
        <v>13</v>
      </c>
      <c r="R22" s="92">
        <v>14</v>
      </c>
      <c r="S22" s="92">
        <v>15</v>
      </c>
      <c r="T22" s="92">
        <v>16</v>
      </c>
      <c r="U22" s="92">
        <v>17</v>
      </c>
      <c r="V22" s="92">
        <v>18</v>
      </c>
      <c r="W22" s="88" t="s">
        <v>2</v>
      </c>
    </row>
    <row r="23" spans="1:23" ht="19" x14ac:dyDescent="0.25">
      <c r="A23" s="83"/>
      <c r="B23" s="78"/>
      <c r="D23" s="94" t="s">
        <v>23</v>
      </c>
      <c r="E23" s="93">
        <f>'RND 2 MP'!C5</f>
        <v>4</v>
      </c>
      <c r="F23" s="93">
        <f>'RND 2 MP'!D5</f>
        <v>3</v>
      </c>
      <c r="G23" s="93">
        <f>'RND 2 MP'!E5</f>
        <v>4</v>
      </c>
      <c r="H23" s="93">
        <f>'RND 2 MP'!F5</f>
        <v>4</v>
      </c>
      <c r="I23" s="93">
        <f>'RND 2 MP'!G5</f>
        <v>4</v>
      </c>
      <c r="J23" s="93">
        <f>'RND 2 MP'!H5</f>
        <v>5</v>
      </c>
      <c r="K23" s="93">
        <f>'RND 2 MP'!I5</f>
        <v>3</v>
      </c>
      <c r="L23" s="93">
        <f>'RND 2 MP'!J5</f>
        <v>4</v>
      </c>
      <c r="M23" s="93">
        <f>'RND 2 MP'!K5</f>
        <v>5</v>
      </c>
      <c r="N23" s="93">
        <f>'RND 2 MP'!L5</f>
        <v>4</v>
      </c>
      <c r="O23" s="93">
        <f>'RND 2 MP'!M5</f>
        <v>5</v>
      </c>
      <c r="P23" s="93">
        <f>'RND 2 MP'!N5</f>
        <v>4</v>
      </c>
      <c r="Q23" s="93">
        <f>'RND 2 MP'!O5</f>
        <v>4</v>
      </c>
      <c r="R23" s="93">
        <f>'RND 2 MP'!P5</f>
        <v>3</v>
      </c>
      <c r="S23" s="93">
        <f>'RND 2 MP'!Q5</f>
        <v>5</v>
      </c>
      <c r="T23" s="93">
        <f>'RND 2 MP'!R5</f>
        <v>4</v>
      </c>
      <c r="U23" s="93">
        <f>'RND 2 MP'!S5</f>
        <v>3</v>
      </c>
      <c r="V23" s="93">
        <f>'RND 2 MP'!T5</f>
        <v>4</v>
      </c>
      <c r="W23" s="88"/>
    </row>
    <row r="24" spans="1:23" x14ac:dyDescent="0.2">
      <c r="A24" s="83"/>
      <c r="B24" s="78"/>
      <c r="D24" s="94" t="s">
        <v>24</v>
      </c>
      <c r="E24" s="95">
        <f>'RND 2 MP'!C6</f>
        <v>16</v>
      </c>
      <c r="F24" s="95">
        <f>'RND 2 MP'!D6</f>
        <v>8</v>
      </c>
      <c r="G24" s="95">
        <f>'RND 2 MP'!E6</f>
        <v>2</v>
      </c>
      <c r="H24" s="95">
        <f>'RND 2 MP'!F6</f>
        <v>18</v>
      </c>
      <c r="I24" s="95">
        <f>'RND 2 MP'!G6</f>
        <v>4</v>
      </c>
      <c r="J24" s="95">
        <f>'RND 2 MP'!H6</f>
        <v>12</v>
      </c>
      <c r="K24" s="95">
        <f>'RND 2 MP'!I6</f>
        <v>6</v>
      </c>
      <c r="L24" s="95">
        <f>'RND 2 MP'!J6</f>
        <v>10</v>
      </c>
      <c r="M24" s="95">
        <f>'RND 2 MP'!K6</f>
        <v>14</v>
      </c>
      <c r="N24" s="95">
        <f>'RND 2 MP'!L6</f>
        <v>11</v>
      </c>
      <c r="O24" s="95">
        <f>'RND 2 MP'!M6</f>
        <v>1</v>
      </c>
      <c r="P24" s="95">
        <f>'RND 2 MP'!N6</f>
        <v>5</v>
      </c>
      <c r="Q24" s="95">
        <f>'RND 2 MP'!O6</f>
        <v>15</v>
      </c>
      <c r="R24" s="95">
        <f>'RND 2 MP'!P6</f>
        <v>13</v>
      </c>
      <c r="S24" s="95">
        <f>'RND 2 MP'!Q6</f>
        <v>7</v>
      </c>
      <c r="T24" s="95">
        <f>'RND 2 MP'!R6</f>
        <v>17</v>
      </c>
      <c r="U24" s="95">
        <f>'RND 2 MP'!S6</f>
        <v>3</v>
      </c>
      <c r="V24" s="95">
        <f>'RND 2 MP'!T6</f>
        <v>9</v>
      </c>
      <c r="W24" s="88"/>
    </row>
    <row r="25" spans="1:23" x14ac:dyDescent="0.2">
      <c r="B25" s="78"/>
      <c r="D25" s="8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89"/>
    </row>
    <row r="26" spans="1:23" x14ac:dyDescent="0.2">
      <c r="A26" s="83" t="str">
        <f>'RND 5 MP'!A7</f>
        <v>BELLIS</v>
      </c>
      <c r="B26" s="78">
        <f>'RND 5 MP'!B7</f>
        <v>18</v>
      </c>
      <c r="D26" s="83"/>
      <c r="E26" s="1">
        <f>'RND 5 MP'!C7</f>
        <v>8</v>
      </c>
      <c r="F26" s="1">
        <f>'RND 5 MP'!D7</f>
        <v>2</v>
      </c>
      <c r="G26" s="1">
        <f>'RND 5 MP'!E7</f>
        <v>8</v>
      </c>
      <c r="H26" s="1">
        <f>'RND 5 MP'!F7</f>
        <v>8</v>
      </c>
      <c r="I26" s="1">
        <f>'RND 5 MP'!G7</f>
        <v>8</v>
      </c>
      <c r="J26" s="1">
        <f>'RND 5 MP'!H7</f>
        <v>8</v>
      </c>
      <c r="K26" s="1">
        <f>'RND 5 MP'!I7</f>
        <v>8</v>
      </c>
      <c r="L26" s="1">
        <f>'RND 5 MP'!J7</f>
        <v>8</v>
      </c>
      <c r="M26" s="1">
        <f>'RND 5 MP'!K7</f>
        <v>2</v>
      </c>
      <c r="N26" s="1">
        <f>'RND 5 MP'!L7</f>
        <v>8</v>
      </c>
      <c r="O26" s="1">
        <f>'RND 5 MP'!M7</f>
        <v>8</v>
      </c>
      <c r="P26" s="1">
        <f>'RND 5 MP'!N7</f>
        <v>8</v>
      </c>
      <c r="Q26" s="1">
        <f>'RND 5 MP'!O7</f>
        <v>8</v>
      </c>
      <c r="R26" s="1">
        <f>'RND 5 MP'!P7</f>
        <v>8</v>
      </c>
      <c r="S26" s="1">
        <f>'RND 5 MP'!Q7</f>
        <v>8</v>
      </c>
      <c r="T26" s="1">
        <f>'RND 5 MP'!R7</f>
        <v>8</v>
      </c>
      <c r="U26" s="1">
        <f>'RND 5 MP'!S7</f>
        <v>8</v>
      </c>
      <c r="V26" s="1">
        <f>'RND 5 MP'!T7</f>
        <v>9</v>
      </c>
      <c r="W26" s="89">
        <f>'RND 5 MP'!U7</f>
        <v>133</v>
      </c>
    </row>
    <row r="27" spans="1:23" x14ac:dyDescent="0.2">
      <c r="A27" s="83" t="str">
        <f>'RND 5 MP'!A8</f>
        <v>DEY</v>
      </c>
      <c r="B27" s="78">
        <f>'RND 5 MP'!B8</f>
        <v>18</v>
      </c>
      <c r="D27" s="83"/>
      <c r="E27" s="1">
        <f>'RND 5 MP'!C8</f>
        <v>1</v>
      </c>
      <c r="F27" s="1">
        <f>'RND 5 MP'!D8</f>
        <v>1</v>
      </c>
      <c r="G27" s="1">
        <f>'RND 5 MP'!E8</f>
        <v>1</v>
      </c>
      <c r="H27" s="1">
        <f>'RND 5 MP'!F8</f>
        <v>1</v>
      </c>
      <c r="I27" s="1">
        <f>'RND 5 MP'!G8</f>
        <v>1</v>
      </c>
      <c r="J27" s="1">
        <f>'RND 5 MP'!H8</f>
        <v>1</v>
      </c>
      <c r="K27" s="1">
        <f>'RND 5 MP'!I8</f>
        <v>1</v>
      </c>
      <c r="L27" s="1">
        <f>'RND 5 MP'!J8</f>
        <v>1</v>
      </c>
      <c r="M27" s="1">
        <f>'RND 5 MP'!K8</f>
        <v>9</v>
      </c>
      <c r="N27" s="1">
        <f>'RND 5 MP'!L8</f>
        <v>9</v>
      </c>
      <c r="O27" s="1">
        <f>'RND 5 MP'!M8</f>
        <v>9</v>
      </c>
      <c r="P27" s="1">
        <f>'RND 5 MP'!N8</f>
        <v>9</v>
      </c>
      <c r="Q27" s="1">
        <f>'RND 5 MP'!O8</f>
        <v>9</v>
      </c>
      <c r="R27" s="1">
        <f>'RND 5 MP'!P8</f>
        <v>9</v>
      </c>
      <c r="S27" s="1">
        <f>'RND 5 MP'!Q8</f>
        <v>9</v>
      </c>
      <c r="T27" s="1">
        <f>'RND 5 MP'!R8</f>
        <v>9</v>
      </c>
      <c r="U27" s="1">
        <f>'RND 5 MP'!S8</f>
        <v>9</v>
      </c>
      <c r="V27" s="1">
        <f>'RND 5 MP'!T8</f>
        <v>9</v>
      </c>
      <c r="W27" s="89">
        <f>'RND 5 MP'!U8</f>
        <v>98</v>
      </c>
    </row>
    <row r="28" spans="1:23" x14ac:dyDescent="0.2">
      <c r="A28" s="83" t="str">
        <f>'RND 5 MP'!A9</f>
        <v>DONOVAN</v>
      </c>
      <c r="B28" s="78">
        <f>'RND 5 MP'!B9</f>
        <v>18</v>
      </c>
      <c r="D28" s="83"/>
      <c r="E28" s="1">
        <f>'RND 5 MP'!C9</f>
        <v>4</v>
      </c>
      <c r="F28" s="1">
        <f>'RND 5 MP'!D9</f>
        <v>9</v>
      </c>
      <c r="G28" s="1">
        <f>'RND 5 MP'!E9</f>
        <v>3</v>
      </c>
      <c r="H28" s="1">
        <f>'RND 5 MP'!F9</f>
        <v>2</v>
      </c>
      <c r="I28" s="1">
        <f>'RND 5 MP'!G9</f>
        <v>4</v>
      </c>
      <c r="J28" s="1">
        <f>'RND 5 MP'!H9</f>
        <v>4</v>
      </c>
      <c r="K28" s="1">
        <f>'RND 5 MP'!I9</f>
        <v>4</v>
      </c>
      <c r="L28" s="1">
        <f>'RND 5 MP'!J9</f>
        <v>4</v>
      </c>
      <c r="M28" s="1">
        <f>'RND 5 MP'!K9</f>
        <v>4</v>
      </c>
      <c r="N28" s="1">
        <f>'RND 5 MP'!L9</f>
        <v>4</v>
      </c>
      <c r="O28" s="1">
        <f>'RND 5 MP'!M9</f>
        <v>4</v>
      </c>
      <c r="P28" s="1">
        <f>'RND 5 MP'!N9</f>
        <v>4</v>
      </c>
      <c r="Q28" s="1">
        <f>'RND 5 MP'!O9</f>
        <v>4</v>
      </c>
      <c r="R28" s="1">
        <f>'RND 5 MP'!P9</f>
        <v>4</v>
      </c>
      <c r="S28" s="1">
        <f>'RND 5 MP'!Q9</f>
        <v>4</v>
      </c>
      <c r="T28" s="1">
        <f>'RND 5 MP'!R9</f>
        <v>4</v>
      </c>
      <c r="U28" s="1">
        <f>'RND 5 MP'!S9</f>
        <v>4</v>
      </c>
      <c r="V28" s="1">
        <f>'RND 5 MP'!T9</f>
        <v>8</v>
      </c>
      <c r="W28" s="89">
        <f>'RND 5 MP'!U9</f>
        <v>78</v>
      </c>
    </row>
    <row r="29" spans="1:23" x14ac:dyDescent="0.2">
      <c r="A29" s="83" t="str">
        <f>'RND 5 MP'!A10</f>
        <v>FINDLAY</v>
      </c>
      <c r="B29" s="78">
        <f>'RND 5 MP'!B10</f>
        <v>18</v>
      </c>
      <c r="D29" s="83"/>
      <c r="E29" s="1">
        <f>'RND 5 MP'!C10</f>
        <v>5</v>
      </c>
      <c r="F29" s="1">
        <f>'RND 5 MP'!D10</f>
        <v>8</v>
      </c>
      <c r="G29" s="1">
        <f>'RND 5 MP'!E10</f>
        <v>5</v>
      </c>
      <c r="H29" s="1">
        <f>'RND 5 MP'!F10</f>
        <v>5</v>
      </c>
      <c r="I29" s="1">
        <f>'RND 5 MP'!G10</f>
        <v>5</v>
      </c>
      <c r="J29" s="1">
        <f>'RND 5 MP'!H10</f>
        <v>5</v>
      </c>
      <c r="K29" s="1">
        <f>'RND 5 MP'!I10</f>
        <v>1</v>
      </c>
      <c r="L29" s="1">
        <f>'RND 5 MP'!J10</f>
        <v>1</v>
      </c>
      <c r="M29" s="1">
        <f>'RND 5 MP'!K10</f>
        <v>1</v>
      </c>
      <c r="N29" s="1">
        <f>'RND 5 MP'!L10</f>
        <v>1</v>
      </c>
      <c r="O29" s="1">
        <f>'RND 5 MP'!M10</f>
        <v>1</v>
      </c>
      <c r="P29" s="1">
        <f>'RND 5 MP'!N10</f>
        <v>1</v>
      </c>
      <c r="Q29" s="1">
        <f>'RND 5 MP'!O10</f>
        <v>1</v>
      </c>
      <c r="R29" s="1">
        <f>'RND 5 MP'!P10</f>
        <v>1</v>
      </c>
      <c r="S29" s="1">
        <f>'RND 5 MP'!Q10</f>
        <v>5</v>
      </c>
      <c r="T29" s="1">
        <f>'RND 5 MP'!R10</f>
        <v>5</v>
      </c>
      <c r="U29" s="1">
        <f>'RND 5 MP'!S10</f>
        <v>5</v>
      </c>
      <c r="V29" s="1">
        <f>'RND 5 MP'!T10</f>
        <v>7</v>
      </c>
      <c r="W29" s="89">
        <f>'RND 5 MP'!U10</f>
        <v>63</v>
      </c>
    </row>
    <row r="30" spans="1:23" x14ac:dyDescent="0.2">
      <c r="A30" s="83" t="str">
        <f>'RND 5 MP'!A11</f>
        <v>HOLLANDS</v>
      </c>
      <c r="B30" s="78">
        <f>'RND 5 MP'!B11</f>
        <v>18</v>
      </c>
      <c r="D30" s="83"/>
      <c r="E30" s="1">
        <f>'RND 5 MP'!C11</f>
        <v>2</v>
      </c>
      <c r="F30" s="1">
        <f>'RND 5 MP'!D11</f>
        <v>3</v>
      </c>
      <c r="G30" s="1">
        <f>'RND 5 MP'!E11</f>
        <v>6</v>
      </c>
      <c r="H30" s="1">
        <f>'RND 5 MP'!F11</f>
        <v>3</v>
      </c>
      <c r="I30" s="1">
        <f>'RND 5 MP'!G11</f>
        <v>2</v>
      </c>
      <c r="J30" s="1">
        <f>'RND 5 MP'!H11</f>
        <v>2</v>
      </c>
      <c r="K30" s="1">
        <f>'RND 5 MP'!I11</f>
        <v>2</v>
      </c>
      <c r="L30" s="1">
        <f>'RND 5 MP'!J11</f>
        <v>1</v>
      </c>
      <c r="M30" s="1">
        <f>'RND 5 MP'!K11</f>
        <v>4</v>
      </c>
      <c r="N30" s="1">
        <f>'RND 5 MP'!L11</f>
        <v>2</v>
      </c>
      <c r="O30" s="1">
        <f>'RND 5 MP'!M11</f>
        <v>2</v>
      </c>
      <c r="P30" s="1">
        <f>'RND 5 MP'!N11</f>
        <v>2</v>
      </c>
      <c r="Q30" s="1">
        <f>'RND 5 MP'!O11</f>
        <v>2</v>
      </c>
      <c r="R30" s="1">
        <f>'RND 5 MP'!P11</f>
        <v>2</v>
      </c>
      <c r="S30" s="1">
        <f>'RND 5 MP'!Q11</f>
        <v>6</v>
      </c>
      <c r="T30" s="1">
        <f>'RND 5 MP'!R11</f>
        <v>6</v>
      </c>
      <c r="U30" s="1">
        <f>'RND 5 MP'!S11</f>
        <v>6</v>
      </c>
      <c r="V30" s="1">
        <f>'RND 5 MP'!T11</f>
        <v>7</v>
      </c>
      <c r="W30" s="89">
        <f>'RND 5 MP'!U11</f>
        <v>60</v>
      </c>
    </row>
    <row r="31" spans="1:23" x14ac:dyDescent="0.2">
      <c r="A31" s="83" t="str">
        <f>'RND 5 MP'!A12</f>
        <v>LAING</v>
      </c>
      <c r="B31" s="78">
        <f>'RND 5 MP'!B12</f>
        <v>18</v>
      </c>
      <c r="D31" s="83"/>
      <c r="E31" s="1">
        <f>'RND 5 MP'!C12</f>
        <v>1</v>
      </c>
      <c r="F31" s="1">
        <f>'RND 5 MP'!D12</f>
        <v>1</v>
      </c>
      <c r="G31" s="1">
        <f>'RND 5 MP'!E12</f>
        <v>1</v>
      </c>
      <c r="H31" s="1">
        <f>'RND 5 MP'!F12</f>
        <v>1</v>
      </c>
      <c r="I31" s="1">
        <f>'RND 5 MP'!G12</f>
        <v>1</v>
      </c>
      <c r="J31" s="1">
        <f>'RND 5 MP'!H12</f>
        <v>1</v>
      </c>
      <c r="K31" s="1">
        <f>'RND 5 MP'!I12</f>
        <v>1</v>
      </c>
      <c r="L31" s="1">
        <f>'RND 5 MP'!J12</f>
        <v>1</v>
      </c>
      <c r="M31" s="1">
        <f>'RND 5 MP'!K12</f>
        <v>1</v>
      </c>
      <c r="N31" s="1">
        <f>'RND 5 MP'!L12</f>
        <v>1</v>
      </c>
      <c r="O31" s="1">
        <f>'RND 5 MP'!M12</f>
        <v>1</v>
      </c>
      <c r="P31" s="1">
        <f>'RND 5 MP'!N12</f>
        <v>1</v>
      </c>
      <c r="Q31" s="1">
        <f>'RND 5 MP'!O12</f>
        <v>1</v>
      </c>
      <c r="R31" s="1">
        <f>'RND 5 MP'!P12</f>
        <v>1</v>
      </c>
      <c r="S31" s="1">
        <f>'RND 5 MP'!Q12</f>
        <v>1</v>
      </c>
      <c r="T31" s="1">
        <f>'RND 5 MP'!R12</f>
        <v>1</v>
      </c>
      <c r="U31" s="1">
        <f>'RND 5 MP'!S12</f>
        <v>1</v>
      </c>
      <c r="V31" s="1">
        <f>'RND 5 MP'!T12</f>
        <v>1</v>
      </c>
      <c r="W31" s="89">
        <f>'RND 5 MP'!U12</f>
        <v>18</v>
      </c>
    </row>
    <row r="32" spans="1:23" x14ac:dyDescent="0.2">
      <c r="A32" s="83" t="str">
        <f>'RND 5 MP'!A13</f>
        <v>REILLY</v>
      </c>
      <c r="B32" s="78">
        <f>'RND 5 MP'!B13</f>
        <v>18</v>
      </c>
      <c r="D32" s="83"/>
      <c r="E32" s="1">
        <f>'RND 5 MP'!C13</f>
        <v>7</v>
      </c>
      <c r="F32" s="1">
        <f>'RND 5 MP'!D13</f>
        <v>5</v>
      </c>
      <c r="G32" s="1">
        <f>'RND 5 MP'!E13</f>
        <v>7</v>
      </c>
      <c r="H32" s="1">
        <f>'RND 5 MP'!F13</f>
        <v>7</v>
      </c>
      <c r="I32" s="1">
        <f>'RND 5 MP'!G13</f>
        <v>7</v>
      </c>
      <c r="J32" s="1">
        <f>'RND 5 MP'!H13</f>
        <v>1</v>
      </c>
      <c r="K32" s="1">
        <f>'RND 5 MP'!I13</f>
        <v>1</v>
      </c>
      <c r="L32" s="1">
        <f>'RND 5 MP'!J13</f>
        <v>7</v>
      </c>
      <c r="M32" s="1">
        <f>'RND 5 MP'!K13</f>
        <v>7</v>
      </c>
      <c r="N32" s="1">
        <f>'RND 5 MP'!L13</f>
        <v>7</v>
      </c>
      <c r="O32" s="1">
        <f>'RND 5 MP'!M13</f>
        <v>7</v>
      </c>
      <c r="P32" s="1">
        <f>'RND 5 MP'!N13</f>
        <v>7</v>
      </c>
      <c r="Q32" s="1">
        <f>'RND 5 MP'!O13</f>
        <v>7</v>
      </c>
      <c r="R32" s="1">
        <f>'RND 5 MP'!P13</f>
        <v>7</v>
      </c>
      <c r="S32" s="1">
        <f>'RND 5 MP'!Q13</f>
        <v>7</v>
      </c>
      <c r="T32" s="1">
        <f>'RND 5 MP'!R13</f>
        <v>6</v>
      </c>
      <c r="U32" s="1">
        <f>'RND 5 MP'!S13</f>
        <v>7</v>
      </c>
      <c r="V32" s="1">
        <f>'RND 5 MP'!T13</f>
        <v>5</v>
      </c>
      <c r="W32" s="89">
        <f>'RND 5 MP'!U13</f>
        <v>109</v>
      </c>
    </row>
    <row r="33" spans="1:23" x14ac:dyDescent="0.2">
      <c r="A33" s="85" t="str">
        <f>'RND 5 MP'!A14</f>
        <v>STONES</v>
      </c>
      <c r="B33" s="79">
        <f>'RND 5 MP'!B14</f>
        <v>18</v>
      </c>
      <c r="D33" s="85"/>
      <c r="E33" s="90">
        <f>'RND 5 MP'!C14</f>
        <v>7</v>
      </c>
      <c r="F33" s="90">
        <f>'RND 5 MP'!D14</f>
        <v>4</v>
      </c>
      <c r="G33" s="90">
        <f>'RND 5 MP'!E14</f>
        <v>7</v>
      </c>
      <c r="H33" s="90">
        <f>'RND 5 MP'!F14</f>
        <v>7</v>
      </c>
      <c r="I33" s="90">
        <f>'RND 5 MP'!G14</f>
        <v>7</v>
      </c>
      <c r="J33" s="90">
        <f>'RND 5 MP'!H14</f>
        <v>7</v>
      </c>
      <c r="K33" s="90">
        <f>'RND 5 MP'!I14</f>
        <v>7</v>
      </c>
      <c r="L33" s="90">
        <f>'RND 5 MP'!J14</f>
        <v>7</v>
      </c>
      <c r="M33" s="90">
        <f>'RND 5 MP'!K14</f>
        <v>1</v>
      </c>
      <c r="N33" s="90">
        <f>'RND 5 MP'!L14</f>
        <v>7</v>
      </c>
      <c r="O33" s="90">
        <f>'RND 5 MP'!M14</f>
        <v>7</v>
      </c>
      <c r="P33" s="90">
        <f>'RND 5 MP'!N14</f>
        <v>7</v>
      </c>
      <c r="Q33" s="90">
        <f>'RND 5 MP'!O14</f>
        <v>7</v>
      </c>
      <c r="R33" s="90">
        <f>'RND 5 MP'!P14</f>
        <v>7</v>
      </c>
      <c r="S33" s="90">
        <f>'RND 5 MP'!Q14</f>
        <v>7</v>
      </c>
      <c r="T33" s="90">
        <f>'RND 5 MP'!R14</f>
        <v>7</v>
      </c>
      <c r="U33" s="90">
        <f>'RND 5 MP'!S14</f>
        <v>7</v>
      </c>
      <c r="V33" s="90">
        <f>'RND 5 MP'!T14</f>
        <v>4</v>
      </c>
      <c r="W33" s="91">
        <f>'RND 5 MP'!U14</f>
        <v>114</v>
      </c>
    </row>
    <row r="37" spans="1:23" x14ac:dyDescent="0.2">
      <c r="A37" t="s">
        <v>101</v>
      </c>
    </row>
    <row r="38" spans="1:23" x14ac:dyDescent="0.2">
      <c r="A38" s="80" t="s">
        <v>1</v>
      </c>
      <c r="B38" s="77" t="s">
        <v>15</v>
      </c>
      <c r="D38" s="96" t="s">
        <v>25</v>
      </c>
      <c r="E38" s="92">
        <v>1</v>
      </c>
      <c r="F38" s="92">
        <v>2</v>
      </c>
      <c r="G38" s="92">
        <v>3</v>
      </c>
      <c r="H38" s="92">
        <v>4</v>
      </c>
      <c r="I38" s="92">
        <v>5</v>
      </c>
      <c r="J38" s="92">
        <v>6</v>
      </c>
      <c r="K38" s="92">
        <v>7</v>
      </c>
      <c r="L38" s="92">
        <v>8</v>
      </c>
      <c r="M38" s="92">
        <v>9</v>
      </c>
      <c r="N38" s="92">
        <v>10</v>
      </c>
      <c r="O38" s="92">
        <v>11</v>
      </c>
      <c r="P38" s="92">
        <v>12</v>
      </c>
      <c r="Q38" s="92">
        <v>13</v>
      </c>
      <c r="R38" s="92">
        <v>14</v>
      </c>
      <c r="S38" s="92">
        <v>15</v>
      </c>
      <c r="T38" s="92">
        <v>16</v>
      </c>
      <c r="U38" s="92">
        <v>17</v>
      </c>
      <c r="V38" s="92">
        <v>18</v>
      </c>
      <c r="W38" s="88" t="s">
        <v>2</v>
      </c>
    </row>
    <row r="39" spans="1:23" ht="19" x14ac:dyDescent="0.25">
      <c r="A39" s="83"/>
      <c r="B39" s="78"/>
      <c r="D39" s="94" t="s">
        <v>23</v>
      </c>
      <c r="E39" s="93">
        <f>E23</f>
        <v>4</v>
      </c>
      <c r="F39" s="93">
        <f t="shared" ref="F39:V40" si="0">F23</f>
        <v>3</v>
      </c>
      <c r="G39" s="93">
        <f t="shared" si="0"/>
        <v>4</v>
      </c>
      <c r="H39" s="93">
        <f t="shared" si="0"/>
        <v>4</v>
      </c>
      <c r="I39" s="93">
        <f t="shared" si="0"/>
        <v>4</v>
      </c>
      <c r="J39" s="93">
        <f t="shared" si="0"/>
        <v>5</v>
      </c>
      <c r="K39" s="93">
        <f t="shared" si="0"/>
        <v>3</v>
      </c>
      <c r="L39" s="93">
        <f t="shared" si="0"/>
        <v>4</v>
      </c>
      <c r="M39" s="93">
        <f t="shared" si="0"/>
        <v>5</v>
      </c>
      <c r="N39" s="93">
        <f t="shared" si="0"/>
        <v>4</v>
      </c>
      <c r="O39" s="93">
        <f t="shared" si="0"/>
        <v>5</v>
      </c>
      <c r="P39" s="93">
        <f t="shared" si="0"/>
        <v>4</v>
      </c>
      <c r="Q39" s="93">
        <f t="shared" si="0"/>
        <v>4</v>
      </c>
      <c r="R39" s="93">
        <f t="shared" si="0"/>
        <v>3</v>
      </c>
      <c r="S39" s="93">
        <f t="shared" si="0"/>
        <v>5</v>
      </c>
      <c r="T39" s="93">
        <f t="shared" si="0"/>
        <v>4</v>
      </c>
      <c r="U39" s="93">
        <f t="shared" si="0"/>
        <v>3</v>
      </c>
      <c r="V39" s="93">
        <f t="shared" si="0"/>
        <v>4</v>
      </c>
      <c r="W39" s="88"/>
    </row>
    <row r="40" spans="1:23" x14ac:dyDescent="0.2">
      <c r="A40" s="83"/>
      <c r="B40" s="78"/>
      <c r="D40" s="94" t="s">
        <v>24</v>
      </c>
      <c r="E40" s="95">
        <f>E24</f>
        <v>16</v>
      </c>
      <c r="F40" s="95">
        <f t="shared" si="0"/>
        <v>8</v>
      </c>
      <c r="G40" s="95">
        <f t="shared" si="0"/>
        <v>2</v>
      </c>
      <c r="H40" s="95">
        <f t="shared" si="0"/>
        <v>18</v>
      </c>
      <c r="I40" s="95">
        <f t="shared" si="0"/>
        <v>4</v>
      </c>
      <c r="J40" s="95">
        <f t="shared" si="0"/>
        <v>12</v>
      </c>
      <c r="K40" s="95">
        <f t="shared" si="0"/>
        <v>6</v>
      </c>
      <c r="L40" s="95">
        <f t="shared" si="0"/>
        <v>10</v>
      </c>
      <c r="M40" s="95">
        <f t="shared" si="0"/>
        <v>14</v>
      </c>
      <c r="N40" s="95">
        <f t="shared" si="0"/>
        <v>11</v>
      </c>
      <c r="O40" s="95">
        <f t="shared" si="0"/>
        <v>1</v>
      </c>
      <c r="P40" s="95">
        <f t="shared" si="0"/>
        <v>5</v>
      </c>
      <c r="Q40" s="95">
        <f t="shared" si="0"/>
        <v>15</v>
      </c>
      <c r="R40" s="95">
        <f t="shared" si="0"/>
        <v>13</v>
      </c>
      <c r="S40" s="95">
        <f t="shared" si="0"/>
        <v>7</v>
      </c>
      <c r="T40" s="95">
        <f t="shared" si="0"/>
        <v>17</v>
      </c>
      <c r="U40" s="95">
        <f t="shared" si="0"/>
        <v>3</v>
      </c>
      <c r="V40" s="95">
        <f t="shared" si="0"/>
        <v>9</v>
      </c>
      <c r="W40" s="88"/>
    </row>
    <row r="41" spans="1:23" x14ac:dyDescent="0.2">
      <c r="B41" s="78"/>
      <c r="D41" s="8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89"/>
    </row>
    <row r="42" spans="1:23" x14ac:dyDescent="0.2">
      <c r="A42" s="83" t="str">
        <f>A26</f>
        <v>BELLIS</v>
      </c>
      <c r="B42" s="78">
        <f>B26</f>
        <v>18</v>
      </c>
      <c r="D42" s="83"/>
      <c r="E42" s="1">
        <f>'RND 5 MP'!C31</f>
        <v>7</v>
      </c>
      <c r="F42" s="1">
        <f>'RND 5 MP'!D31</f>
        <v>1</v>
      </c>
      <c r="G42" s="1">
        <f>'RND 5 MP'!E31</f>
        <v>7</v>
      </c>
      <c r="H42" s="1">
        <f>'RND 5 MP'!F31</f>
        <v>7</v>
      </c>
      <c r="I42" s="1">
        <f>'RND 5 MP'!G31</f>
        <v>7</v>
      </c>
      <c r="J42" s="1">
        <f>'RND 5 MP'!H31</f>
        <v>7</v>
      </c>
      <c r="K42" s="1">
        <f>'RND 5 MP'!I31</f>
        <v>7</v>
      </c>
      <c r="L42" s="1">
        <f>'RND 5 MP'!J31</f>
        <v>7</v>
      </c>
      <c r="M42" s="1">
        <f>'RND 5 MP'!K31</f>
        <v>1</v>
      </c>
      <c r="N42" s="1">
        <f>'RND 5 MP'!L31</f>
        <v>7</v>
      </c>
      <c r="O42" s="1">
        <f>'RND 5 MP'!M31</f>
        <v>7</v>
      </c>
      <c r="P42" s="1">
        <f>'RND 5 MP'!N31</f>
        <v>7</v>
      </c>
      <c r="Q42" s="1">
        <f>'RND 5 MP'!O31</f>
        <v>7</v>
      </c>
      <c r="R42" s="1">
        <f>'RND 5 MP'!P31</f>
        <v>7</v>
      </c>
      <c r="S42" s="1">
        <f>'RND 5 MP'!Q31</f>
        <v>7</v>
      </c>
      <c r="T42" s="1">
        <f>'RND 5 MP'!R31</f>
        <v>7</v>
      </c>
      <c r="U42" s="1">
        <f>'RND 5 MP'!S31</f>
        <v>7</v>
      </c>
      <c r="V42" s="1">
        <f>'RND 5 MP'!T31</f>
        <v>8</v>
      </c>
      <c r="W42" s="89">
        <f>'RND 5 MP'!U31</f>
        <v>115</v>
      </c>
    </row>
    <row r="43" spans="1:23" x14ac:dyDescent="0.2">
      <c r="A43" s="83" t="str">
        <f t="shared" ref="A43:B49" si="1">A27</f>
        <v>DEY</v>
      </c>
      <c r="B43" s="78">
        <f t="shared" si="1"/>
        <v>18</v>
      </c>
      <c r="D43" s="83"/>
      <c r="E43" s="1">
        <f>'RND 5 MP'!C32</f>
        <v>0</v>
      </c>
      <c r="F43" s="1">
        <f>'RND 5 MP'!D32</f>
        <v>0</v>
      </c>
      <c r="G43" s="1">
        <f>'RND 5 MP'!E32</f>
        <v>0</v>
      </c>
      <c r="H43" s="1">
        <f>'RND 5 MP'!F32</f>
        <v>0</v>
      </c>
      <c r="I43" s="1">
        <f>'RND 5 MP'!G32</f>
        <v>0</v>
      </c>
      <c r="J43" s="1">
        <f>'RND 5 MP'!H32</f>
        <v>0</v>
      </c>
      <c r="K43" s="1">
        <f>'RND 5 MP'!I32</f>
        <v>0</v>
      </c>
      <c r="L43" s="1">
        <f>'RND 5 MP'!J32</f>
        <v>0</v>
      </c>
      <c r="M43" s="1">
        <f>'RND 5 MP'!K32</f>
        <v>8</v>
      </c>
      <c r="N43" s="1">
        <f>'RND 5 MP'!L32</f>
        <v>8</v>
      </c>
      <c r="O43" s="1">
        <f>'RND 5 MP'!M32</f>
        <v>8</v>
      </c>
      <c r="P43" s="1">
        <f>'RND 5 MP'!N32</f>
        <v>8</v>
      </c>
      <c r="Q43" s="1">
        <f>'RND 5 MP'!O32</f>
        <v>8</v>
      </c>
      <c r="R43" s="1">
        <f>'RND 5 MP'!P32</f>
        <v>8</v>
      </c>
      <c r="S43" s="1">
        <f>'RND 5 MP'!Q32</f>
        <v>8</v>
      </c>
      <c r="T43" s="1">
        <f>'RND 5 MP'!R32</f>
        <v>8</v>
      </c>
      <c r="U43" s="1">
        <f>'RND 5 MP'!S32</f>
        <v>8</v>
      </c>
      <c r="V43" s="1">
        <f>'RND 5 MP'!T32</f>
        <v>8</v>
      </c>
      <c r="W43" s="89">
        <f>'RND 5 MP'!U32</f>
        <v>80</v>
      </c>
    </row>
    <row r="44" spans="1:23" x14ac:dyDescent="0.2">
      <c r="A44" s="83" t="str">
        <f t="shared" si="1"/>
        <v>DONOVAN</v>
      </c>
      <c r="B44" s="78">
        <f t="shared" si="1"/>
        <v>18</v>
      </c>
      <c r="D44" s="83"/>
      <c r="E44" s="1">
        <f>'RND 5 MP'!C33</f>
        <v>3</v>
      </c>
      <c r="F44" s="1">
        <f>'RND 5 MP'!D33</f>
        <v>8</v>
      </c>
      <c r="G44" s="1">
        <f>'RND 5 MP'!E33</f>
        <v>2</v>
      </c>
      <c r="H44" s="1">
        <f>'RND 5 MP'!F33</f>
        <v>1</v>
      </c>
      <c r="I44" s="1">
        <f>'RND 5 MP'!G33</f>
        <v>3</v>
      </c>
      <c r="J44" s="1">
        <f>'RND 5 MP'!H33</f>
        <v>3</v>
      </c>
      <c r="K44" s="1">
        <f>'RND 5 MP'!I33</f>
        <v>3</v>
      </c>
      <c r="L44" s="1">
        <f>'RND 5 MP'!J33</f>
        <v>3</v>
      </c>
      <c r="M44" s="1">
        <f>'RND 5 MP'!K33</f>
        <v>3</v>
      </c>
      <c r="N44" s="1">
        <f>'RND 5 MP'!L33</f>
        <v>3</v>
      </c>
      <c r="O44" s="1">
        <f>'RND 5 MP'!M33</f>
        <v>3</v>
      </c>
      <c r="P44" s="1">
        <f>'RND 5 MP'!N33</f>
        <v>3</v>
      </c>
      <c r="Q44" s="1">
        <f>'RND 5 MP'!O33</f>
        <v>3</v>
      </c>
      <c r="R44" s="1">
        <f>'RND 5 MP'!P33</f>
        <v>3</v>
      </c>
      <c r="S44" s="1">
        <f>'RND 5 MP'!Q33</f>
        <v>3</v>
      </c>
      <c r="T44" s="1">
        <f>'RND 5 MP'!R33</f>
        <v>3</v>
      </c>
      <c r="U44" s="1">
        <f>'RND 5 MP'!S33</f>
        <v>3</v>
      </c>
      <c r="V44" s="1">
        <f>'RND 5 MP'!T33</f>
        <v>7</v>
      </c>
      <c r="W44" s="89">
        <f>'RND 5 MP'!U33</f>
        <v>60</v>
      </c>
    </row>
    <row r="45" spans="1:23" x14ac:dyDescent="0.2">
      <c r="A45" s="83" t="str">
        <f t="shared" si="1"/>
        <v>FINDLAY</v>
      </c>
      <c r="B45" s="78">
        <f t="shared" si="1"/>
        <v>18</v>
      </c>
      <c r="D45" s="83"/>
      <c r="E45" s="1">
        <f>'RND 5 MP'!C34</f>
        <v>4</v>
      </c>
      <c r="F45" s="1">
        <f>'RND 5 MP'!D34</f>
        <v>7</v>
      </c>
      <c r="G45" s="1">
        <f>'RND 5 MP'!E34</f>
        <v>4</v>
      </c>
      <c r="H45" s="1">
        <f>'RND 5 MP'!F34</f>
        <v>4</v>
      </c>
      <c r="I45" s="1">
        <f>'RND 5 MP'!G34</f>
        <v>4</v>
      </c>
      <c r="J45" s="1">
        <f>'RND 5 MP'!H34</f>
        <v>4</v>
      </c>
      <c r="K45" s="1">
        <f>'RND 5 MP'!I34</f>
        <v>0</v>
      </c>
      <c r="L45" s="1">
        <f>'RND 5 MP'!J34</f>
        <v>0</v>
      </c>
      <c r="M45" s="1">
        <f>'RND 5 MP'!K34</f>
        <v>0</v>
      </c>
      <c r="N45" s="1">
        <f>'RND 5 MP'!L34</f>
        <v>0</v>
      </c>
      <c r="O45" s="1">
        <f>'RND 5 MP'!M34</f>
        <v>0</v>
      </c>
      <c r="P45" s="1">
        <f>'RND 5 MP'!N34</f>
        <v>0</v>
      </c>
      <c r="Q45" s="1">
        <f>'RND 5 MP'!O34</f>
        <v>0</v>
      </c>
      <c r="R45" s="1">
        <f>'RND 5 MP'!P34</f>
        <v>0</v>
      </c>
      <c r="S45" s="1">
        <f>'RND 5 MP'!Q34</f>
        <v>4</v>
      </c>
      <c r="T45" s="1">
        <f>'RND 5 MP'!R34</f>
        <v>4</v>
      </c>
      <c r="U45" s="1">
        <f>'RND 5 MP'!S34</f>
        <v>4</v>
      </c>
      <c r="V45" s="1">
        <f>'RND 5 MP'!T34</f>
        <v>6</v>
      </c>
      <c r="W45" s="89">
        <f>'RND 5 MP'!U34</f>
        <v>45</v>
      </c>
    </row>
    <row r="46" spans="1:23" x14ac:dyDescent="0.2">
      <c r="A46" s="83" t="str">
        <f t="shared" si="1"/>
        <v>HOLLANDS</v>
      </c>
      <c r="B46" s="78">
        <f t="shared" si="1"/>
        <v>18</v>
      </c>
      <c r="D46" s="83"/>
      <c r="E46" s="1">
        <f>'RND 5 MP'!C35</f>
        <v>1</v>
      </c>
      <c r="F46" s="1">
        <f>'RND 5 MP'!D35</f>
        <v>2</v>
      </c>
      <c r="G46" s="1">
        <f>'RND 5 MP'!E35</f>
        <v>5</v>
      </c>
      <c r="H46" s="1">
        <f>'RND 5 MP'!F35</f>
        <v>2</v>
      </c>
      <c r="I46" s="1">
        <f>'RND 5 MP'!G35</f>
        <v>1</v>
      </c>
      <c r="J46" s="1">
        <f>'RND 5 MP'!H35</f>
        <v>1</v>
      </c>
      <c r="K46" s="1">
        <f>'RND 5 MP'!I35</f>
        <v>1</v>
      </c>
      <c r="L46" s="1">
        <f>'RND 5 MP'!J35</f>
        <v>0</v>
      </c>
      <c r="M46" s="1">
        <f>'RND 5 MP'!K35</f>
        <v>3</v>
      </c>
      <c r="N46" s="1">
        <f>'RND 5 MP'!L35</f>
        <v>1</v>
      </c>
      <c r="O46" s="1">
        <f>'RND 5 MP'!M35</f>
        <v>1</v>
      </c>
      <c r="P46" s="1">
        <f>'RND 5 MP'!N35</f>
        <v>1</v>
      </c>
      <c r="Q46" s="1">
        <f>'RND 5 MP'!O35</f>
        <v>1</v>
      </c>
      <c r="R46" s="1">
        <f>'RND 5 MP'!P35</f>
        <v>1</v>
      </c>
      <c r="S46" s="1">
        <f>'RND 5 MP'!Q35</f>
        <v>5</v>
      </c>
      <c r="T46" s="1">
        <f>'RND 5 MP'!R35</f>
        <v>5</v>
      </c>
      <c r="U46" s="1">
        <f>'RND 5 MP'!S35</f>
        <v>5</v>
      </c>
      <c r="V46" s="1">
        <f>'RND 5 MP'!T35</f>
        <v>6</v>
      </c>
      <c r="W46" s="89">
        <f>'RND 5 MP'!U35</f>
        <v>42</v>
      </c>
    </row>
    <row r="47" spans="1:23" x14ac:dyDescent="0.2">
      <c r="A47" s="83" t="str">
        <f t="shared" si="1"/>
        <v>LAING</v>
      </c>
      <c r="B47" s="78">
        <f t="shared" si="1"/>
        <v>18</v>
      </c>
      <c r="D47" s="83"/>
      <c r="E47" s="1">
        <f>'RND 5 MP'!C36</f>
        <v>0</v>
      </c>
      <c r="F47" s="1">
        <f>'RND 5 MP'!D36</f>
        <v>0</v>
      </c>
      <c r="G47" s="1">
        <f>'RND 5 MP'!E36</f>
        <v>0</v>
      </c>
      <c r="H47" s="1">
        <f>'RND 5 MP'!F36</f>
        <v>0</v>
      </c>
      <c r="I47" s="1">
        <f>'RND 5 MP'!G36</f>
        <v>0</v>
      </c>
      <c r="J47" s="1">
        <f>'RND 5 MP'!H36</f>
        <v>0</v>
      </c>
      <c r="K47" s="1">
        <f>'RND 5 MP'!I36</f>
        <v>0</v>
      </c>
      <c r="L47" s="1">
        <f>'RND 5 MP'!J36</f>
        <v>0</v>
      </c>
      <c r="M47" s="1">
        <f>'RND 5 MP'!K36</f>
        <v>0</v>
      </c>
      <c r="N47" s="1">
        <f>'RND 5 MP'!L36</f>
        <v>0</v>
      </c>
      <c r="O47" s="1">
        <f>'RND 5 MP'!M36</f>
        <v>0</v>
      </c>
      <c r="P47" s="1">
        <f>'RND 5 MP'!N36</f>
        <v>0</v>
      </c>
      <c r="Q47" s="1">
        <f>'RND 5 MP'!O36</f>
        <v>0</v>
      </c>
      <c r="R47" s="1">
        <f>'RND 5 MP'!P36</f>
        <v>0</v>
      </c>
      <c r="S47" s="1">
        <f>'RND 5 MP'!Q36</f>
        <v>0</v>
      </c>
      <c r="T47" s="1">
        <f>'RND 5 MP'!R36</f>
        <v>0</v>
      </c>
      <c r="U47" s="1">
        <f>'RND 5 MP'!S36</f>
        <v>0</v>
      </c>
      <c r="V47" s="1">
        <f>'RND 5 MP'!T36</f>
        <v>0</v>
      </c>
      <c r="W47" s="89">
        <f>'RND 5 MP'!U36</f>
        <v>0</v>
      </c>
    </row>
    <row r="48" spans="1:23" x14ac:dyDescent="0.2">
      <c r="A48" s="83" t="str">
        <f t="shared" si="1"/>
        <v>REILLY</v>
      </c>
      <c r="B48" s="78">
        <f t="shared" si="1"/>
        <v>18</v>
      </c>
      <c r="D48" s="83"/>
      <c r="E48" s="1">
        <f>'RND 5 MP'!C37</f>
        <v>6</v>
      </c>
      <c r="F48" s="1">
        <f>'RND 5 MP'!D37</f>
        <v>4</v>
      </c>
      <c r="G48" s="1">
        <f>'RND 5 MP'!E37</f>
        <v>6</v>
      </c>
      <c r="H48" s="1">
        <f>'RND 5 MP'!F37</f>
        <v>6</v>
      </c>
      <c r="I48" s="1">
        <f>'RND 5 MP'!G37</f>
        <v>6</v>
      </c>
      <c r="J48" s="1">
        <f>'RND 5 MP'!H37</f>
        <v>0</v>
      </c>
      <c r="K48" s="1">
        <f>'RND 5 MP'!I37</f>
        <v>0</v>
      </c>
      <c r="L48" s="1">
        <f>'RND 5 MP'!J37</f>
        <v>6</v>
      </c>
      <c r="M48" s="1">
        <f>'RND 5 MP'!K37</f>
        <v>6</v>
      </c>
      <c r="N48" s="1">
        <f>'RND 5 MP'!L37</f>
        <v>6</v>
      </c>
      <c r="O48" s="1">
        <f>'RND 5 MP'!M37</f>
        <v>6</v>
      </c>
      <c r="P48" s="1">
        <f>'RND 5 MP'!N37</f>
        <v>6</v>
      </c>
      <c r="Q48" s="1">
        <f>'RND 5 MP'!O37</f>
        <v>6</v>
      </c>
      <c r="R48" s="1">
        <f>'RND 5 MP'!P37</f>
        <v>6</v>
      </c>
      <c r="S48" s="1">
        <f>'RND 5 MP'!Q37</f>
        <v>6</v>
      </c>
      <c r="T48" s="1">
        <f>'RND 5 MP'!R37</f>
        <v>5</v>
      </c>
      <c r="U48" s="1">
        <f>'RND 5 MP'!S37</f>
        <v>6</v>
      </c>
      <c r="V48" s="1">
        <f>'RND 5 MP'!T37</f>
        <v>4</v>
      </c>
      <c r="W48" s="89">
        <f>'RND 5 MP'!U37</f>
        <v>91</v>
      </c>
    </row>
    <row r="49" spans="1:23" x14ac:dyDescent="0.2">
      <c r="A49" s="85" t="str">
        <f t="shared" si="1"/>
        <v>STONES</v>
      </c>
      <c r="B49" s="79">
        <f t="shared" si="1"/>
        <v>18</v>
      </c>
      <c r="D49" s="85"/>
      <c r="E49" s="90">
        <f>'RND 5 MP'!C38</f>
        <v>6</v>
      </c>
      <c r="F49" s="90">
        <f>'RND 5 MP'!D38</f>
        <v>3</v>
      </c>
      <c r="G49" s="90">
        <f>'RND 5 MP'!E38</f>
        <v>6</v>
      </c>
      <c r="H49" s="90">
        <f>'RND 5 MP'!F38</f>
        <v>6</v>
      </c>
      <c r="I49" s="90">
        <f>'RND 5 MP'!G38</f>
        <v>6</v>
      </c>
      <c r="J49" s="90">
        <f>'RND 5 MP'!H38</f>
        <v>6</v>
      </c>
      <c r="K49" s="90">
        <f>'RND 5 MP'!I38</f>
        <v>6</v>
      </c>
      <c r="L49" s="90">
        <f>'RND 5 MP'!J38</f>
        <v>6</v>
      </c>
      <c r="M49" s="90">
        <f>'RND 5 MP'!K38</f>
        <v>0</v>
      </c>
      <c r="N49" s="90">
        <f>'RND 5 MP'!L38</f>
        <v>6</v>
      </c>
      <c r="O49" s="90">
        <f>'RND 5 MP'!M38</f>
        <v>6</v>
      </c>
      <c r="P49" s="90">
        <f>'RND 5 MP'!N38</f>
        <v>6</v>
      </c>
      <c r="Q49" s="90">
        <f>'RND 5 MP'!O38</f>
        <v>6</v>
      </c>
      <c r="R49" s="90">
        <f>'RND 5 MP'!P38</f>
        <v>6</v>
      </c>
      <c r="S49" s="90">
        <f>'RND 5 MP'!Q38</f>
        <v>6</v>
      </c>
      <c r="T49" s="90">
        <f>'RND 5 MP'!R38</f>
        <v>6</v>
      </c>
      <c r="U49" s="90">
        <f>'RND 5 MP'!S38</f>
        <v>6</v>
      </c>
      <c r="V49" s="90">
        <f>'RND 5 MP'!T38</f>
        <v>3</v>
      </c>
      <c r="W49" s="91">
        <f>'RND 5 MP'!U38</f>
        <v>96</v>
      </c>
    </row>
    <row r="53" spans="1:23" x14ac:dyDescent="0.2">
      <c r="A53" t="s">
        <v>100</v>
      </c>
    </row>
    <row r="54" spans="1:23" x14ac:dyDescent="0.2">
      <c r="A54" s="80" t="s">
        <v>1</v>
      </c>
      <c r="B54" s="77" t="s">
        <v>74</v>
      </c>
      <c r="D54" s="96" t="s">
        <v>25</v>
      </c>
      <c r="E54" s="92">
        <v>1</v>
      </c>
      <c r="F54" s="92">
        <v>2</v>
      </c>
      <c r="G54" s="92">
        <v>3</v>
      </c>
      <c r="H54" s="92">
        <v>4</v>
      </c>
      <c r="I54" s="92">
        <v>5</v>
      </c>
      <c r="J54" s="92">
        <v>6</v>
      </c>
      <c r="K54" s="92">
        <v>7</v>
      </c>
      <c r="L54" s="92">
        <v>8</v>
      </c>
      <c r="M54" s="92">
        <v>9</v>
      </c>
      <c r="N54" s="92">
        <v>10</v>
      </c>
      <c r="O54" s="92">
        <v>11</v>
      </c>
      <c r="P54" s="92">
        <v>12</v>
      </c>
      <c r="Q54" s="92">
        <v>13</v>
      </c>
      <c r="R54" s="92">
        <v>14</v>
      </c>
      <c r="S54" s="92">
        <v>15</v>
      </c>
      <c r="T54" s="92">
        <v>16</v>
      </c>
      <c r="U54" s="92">
        <v>17</v>
      </c>
      <c r="V54" s="92">
        <v>18</v>
      </c>
      <c r="W54" s="88" t="s">
        <v>2</v>
      </c>
    </row>
    <row r="55" spans="1:23" ht="19" x14ac:dyDescent="0.25">
      <c r="A55" s="83"/>
      <c r="B55" s="78"/>
      <c r="D55" s="94" t="s">
        <v>23</v>
      </c>
      <c r="E55" s="93">
        <f>E39</f>
        <v>4</v>
      </c>
      <c r="F55" s="93">
        <f t="shared" ref="F55:V56" si="2">F39</f>
        <v>3</v>
      </c>
      <c r="G55" s="93">
        <f t="shared" si="2"/>
        <v>4</v>
      </c>
      <c r="H55" s="93">
        <f t="shared" si="2"/>
        <v>4</v>
      </c>
      <c r="I55" s="93">
        <f t="shared" si="2"/>
        <v>4</v>
      </c>
      <c r="J55" s="93">
        <f t="shared" si="2"/>
        <v>5</v>
      </c>
      <c r="K55" s="93">
        <f t="shared" si="2"/>
        <v>3</v>
      </c>
      <c r="L55" s="93">
        <f t="shared" si="2"/>
        <v>4</v>
      </c>
      <c r="M55" s="93">
        <f t="shared" si="2"/>
        <v>5</v>
      </c>
      <c r="N55" s="93">
        <f t="shared" si="2"/>
        <v>4</v>
      </c>
      <c r="O55" s="93">
        <f t="shared" si="2"/>
        <v>5</v>
      </c>
      <c r="P55" s="93">
        <f t="shared" si="2"/>
        <v>4</v>
      </c>
      <c r="Q55" s="93">
        <f t="shared" si="2"/>
        <v>4</v>
      </c>
      <c r="R55" s="93">
        <f t="shared" si="2"/>
        <v>3</v>
      </c>
      <c r="S55" s="93">
        <f t="shared" si="2"/>
        <v>5</v>
      </c>
      <c r="T55" s="93">
        <f t="shared" si="2"/>
        <v>4</v>
      </c>
      <c r="U55" s="93">
        <f t="shared" si="2"/>
        <v>3</v>
      </c>
      <c r="V55" s="93">
        <f t="shared" si="2"/>
        <v>4</v>
      </c>
      <c r="W55" s="88"/>
    </row>
    <row r="56" spans="1:23" x14ac:dyDescent="0.2">
      <c r="A56" s="83"/>
      <c r="B56" s="78"/>
      <c r="D56" s="94" t="s">
        <v>24</v>
      </c>
      <c r="E56" s="95">
        <f>E40</f>
        <v>16</v>
      </c>
      <c r="F56" s="95">
        <f t="shared" si="2"/>
        <v>8</v>
      </c>
      <c r="G56" s="95">
        <f t="shared" si="2"/>
        <v>2</v>
      </c>
      <c r="H56" s="95">
        <f t="shared" si="2"/>
        <v>18</v>
      </c>
      <c r="I56" s="95">
        <f t="shared" si="2"/>
        <v>4</v>
      </c>
      <c r="J56" s="95">
        <f t="shared" si="2"/>
        <v>12</v>
      </c>
      <c r="K56" s="95">
        <f t="shared" si="2"/>
        <v>6</v>
      </c>
      <c r="L56" s="95">
        <f t="shared" si="2"/>
        <v>10</v>
      </c>
      <c r="M56" s="95">
        <f t="shared" si="2"/>
        <v>14</v>
      </c>
      <c r="N56" s="95">
        <f t="shared" si="2"/>
        <v>11</v>
      </c>
      <c r="O56" s="95">
        <f t="shared" si="2"/>
        <v>1</v>
      </c>
      <c r="P56" s="95">
        <f t="shared" si="2"/>
        <v>5</v>
      </c>
      <c r="Q56" s="95">
        <f t="shared" si="2"/>
        <v>15</v>
      </c>
      <c r="R56" s="95">
        <f t="shared" si="2"/>
        <v>13</v>
      </c>
      <c r="S56" s="95">
        <f t="shared" si="2"/>
        <v>7</v>
      </c>
      <c r="T56" s="95">
        <f t="shared" si="2"/>
        <v>17</v>
      </c>
      <c r="U56" s="95">
        <f t="shared" si="2"/>
        <v>3</v>
      </c>
      <c r="V56" s="95">
        <f t="shared" si="2"/>
        <v>9</v>
      </c>
      <c r="W56" s="88"/>
    </row>
    <row r="57" spans="1:23" x14ac:dyDescent="0.2">
      <c r="B57" s="78"/>
      <c r="D57" s="8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89"/>
    </row>
    <row r="58" spans="1:23" x14ac:dyDescent="0.2">
      <c r="A58" s="83" t="str">
        <f>A42</f>
        <v>BELLIS</v>
      </c>
      <c r="B58" s="78">
        <f>'RND 5 MP'!U56</f>
        <v>4</v>
      </c>
      <c r="D58" s="83"/>
      <c r="E58" s="1" t="str" cm="1">
        <f t="array" ref="E58">IFERROR(
  INDEX($A$99:$A$106,
    MATCH(
      LARGE( INDEX($E$99:$V$106, 0, COLUMN()-4) + ROW($A$99:$A$106)/1000, ROW(A1) ),
      INDEX($E$99:$V$106, 0, COLUMN()-4) + ROW($A$99:$A$106)/1000,
    0)
  ),
"")</f>
        <v>LAING</v>
      </c>
      <c r="F58" s="1" t="str" cm="1">
        <f t="array" ref="F58">IFERROR(
  INDEX($A$99:$A$106,
    MATCH(
      LARGE( INDEX($E$99:$V$106, 0, COLUMN()-4) + ROW($A$99:$A$106)/1000, ROW(B1) ),
      INDEX($E$99:$V$106, 0, COLUMN()-4) + ROW($A$99:$A$106)/1000,
    0)
  ),
"")</f>
        <v>LAING</v>
      </c>
      <c r="G58" s="1" t="str" cm="1">
        <f t="array" ref="G58">IFERROR(
  INDEX($A$99:$A$106,
    MATCH(
      LARGE( INDEX($E$99:$V$106, 0, COLUMN()-4) + ROW($A$99:$A$106)/1000, ROW(C1) ),
      INDEX($E$99:$V$106, 0, COLUMN()-4) + ROW($A$99:$A$106)/1000,
    0)
  ),
"")</f>
        <v>LAING</v>
      </c>
      <c r="H58" s="1" t="str" cm="1">
        <f t="array" ref="H58">IFERROR(
  INDEX($A$99:$A$106,
    MATCH(
      LARGE( INDEX($E$99:$V$106, 0, COLUMN()-4) + ROW($A$99:$A$106)/1000, ROW(D1) ),
      INDEX($E$99:$V$106, 0, COLUMN()-4) + ROW($A$99:$A$106)/1000,
    0)
  ),
"")</f>
        <v>LAING</v>
      </c>
      <c r="I58" s="1" t="str" cm="1">
        <f t="array" ref="I58">IFERROR(
  INDEX($A$99:$A$106,
    MATCH(
      LARGE( INDEX($E$99:$V$106, 0, COLUMN()-4) + ROW($A$99:$A$106)/1000, ROW(E1) ),
      INDEX($E$99:$V$106, 0, COLUMN()-4) + ROW($A$99:$A$106)/1000,
    0)
  ),
"")</f>
        <v>LAING</v>
      </c>
      <c r="J58" s="1" t="str" cm="1">
        <f t="array" ref="J58">IFERROR(
  INDEX($A$99:$A$106,
    MATCH(
      LARGE( INDEX($E$99:$V$106, 0, COLUMN()-4) + ROW($A$99:$A$106)/1000, ROW(F1) ),
      INDEX($E$99:$V$106, 0, COLUMN()-4) + ROW($A$99:$A$106)/1000,
    0)
  ),
"")</f>
        <v>REILLY</v>
      </c>
      <c r="K58" s="1" t="str" cm="1">
        <f t="array" ref="K58">IFERROR(
  INDEX($A$99:$A$106,
    MATCH(
      LARGE( INDEX($E$99:$V$106, 0, COLUMN()-4) + ROW($A$99:$A$106)/1000, ROW(G1) ),
      INDEX($E$99:$V$106, 0, COLUMN()-4) + ROW($A$99:$A$106)/1000,
    0)
  ),
"")</f>
        <v>REILLY</v>
      </c>
      <c r="L58" s="1" t="str" cm="1">
        <f t="array" ref="L58">IFERROR(
  INDEX($A$99:$A$106,
    MATCH(
      LARGE( INDEX($E$99:$V$106, 0, COLUMN()-4) + ROW($A$99:$A$106)/1000, ROW(H1) ),
      INDEX($E$99:$V$106, 0, COLUMN()-4) + ROW($A$99:$A$106)/1000,
    0)
  ),
"")</f>
        <v>LAING</v>
      </c>
      <c r="M58" s="1" t="str" cm="1">
        <f t="array" ref="M58">IFERROR(
  INDEX($A$99:$A$106,
    MATCH(
      LARGE( INDEX($E$99:$V$106, 0, COLUMN()-4) + ROW($A$99:$A$106)/1000, ROW(I1) ),
      INDEX($E$99:$V$106, 0, COLUMN()-4) + ROW($A$99:$A$106)/1000,
    0)
  ),
"")</f>
        <v>STONES</v>
      </c>
      <c r="N58" s="1" t="str" cm="1">
        <f t="array" ref="N58">IFERROR(
  INDEX($A$99:$A$106,
    MATCH(
      LARGE( INDEX($E$99:$V$106, 0, COLUMN()-4) + ROW($A$99:$A$106)/1000, ROW(J1) ),
      INDEX($E$99:$V$106, 0, COLUMN()-4) + ROW($A$99:$A$106)/1000,
    0)
  ),
"")</f>
        <v>LAING</v>
      </c>
      <c r="O58" s="1" t="str" cm="1">
        <f t="array" ref="O58">IFERROR(
  INDEX($A$99:$A$106,
    MATCH(
      LARGE( INDEX($E$99:$V$106, 0, COLUMN()-4) + ROW($A$99:$A$106)/1000, ROW(K1) ),
      INDEX($E$99:$V$106, 0, COLUMN()-4) + ROW($A$99:$A$106)/1000,
    0)
  ),
"")</f>
        <v>LAING</v>
      </c>
      <c r="P58" s="1" t="str" cm="1">
        <f t="array" ref="P58">IFERROR(
  INDEX($A$99:$A$106,
    MATCH(
      LARGE( INDEX($E$99:$V$106, 0, COLUMN()-4) + ROW($A$99:$A$106)/1000, ROW(L1) ),
      INDEX($E$99:$V$106, 0, COLUMN()-4) + ROW($A$99:$A$106)/1000,
    0)
  ),
"")</f>
        <v>LAING</v>
      </c>
      <c r="Q58" s="1" t="str" cm="1">
        <f t="array" ref="Q58">IFERROR(
  INDEX($A$99:$A$106,
    MATCH(
      LARGE( INDEX($E$99:$V$106, 0, COLUMN()-4) + ROW($A$99:$A$106)/1000, ROW(M1) ),
      INDEX($E$99:$V$106, 0, COLUMN()-4) + ROW($A$99:$A$106)/1000,
    0)
  ),
"")</f>
        <v>LAING</v>
      </c>
      <c r="R58" s="1" t="str" cm="1">
        <f t="array" ref="R58">IFERROR(
  INDEX($A$99:$A$106,
    MATCH(
      LARGE( INDEX($E$99:$V$106, 0, COLUMN()-4) + ROW($A$99:$A$106)/1000, ROW(N1) ),
      INDEX($E$99:$V$106, 0, COLUMN()-4) + ROW($A$99:$A$106)/1000,
    0)
  ),
"")</f>
        <v>LAING</v>
      </c>
      <c r="S58" s="1" t="str" cm="1">
        <f t="array" ref="S58">IFERROR(
  INDEX($A$99:$A$106,
    MATCH(
      LARGE( INDEX($E$99:$V$106, 0, COLUMN()-4) + ROW($A$99:$A$106)/1000, ROW(O1) ),
      INDEX($E$99:$V$106, 0, COLUMN()-4) + ROW($A$99:$A$106)/1000,
    0)
  ),
"")</f>
        <v>LAING</v>
      </c>
      <c r="T58" s="1" t="str" cm="1">
        <f t="array" ref="T58">IFERROR(
  INDEX($A$99:$A$106,
    MATCH(
      LARGE( INDEX($E$99:$V$106, 0, COLUMN()-4) + ROW($A$99:$A$106)/1000, ROW(P1) ),
      INDEX($E$99:$V$106, 0, COLUMN()-4) + ROW($A$99:$A$106)/1000,
    0)
  ),
"")</f>
        <v>LAING</v>
      </c>
      <c r="U58" s="1" t="str" cm="1">
        <f t="array" ref="U58">IFERROR(
  INDEX($A$99:$A$106,
    MATCH(
      LARGE( INDEX($E$99:$V$106, 0, COLUMN()-4) + ROW($A$99:$A$106)/1000, ROW(Q1) ),
      INDEX($E$99:$V$106, 0, COLUMN()-4) + ROW($A$99:$A$106)/1000,
    0)
  ),
"")</f>
        <v>LAING</v>
      </c>
      <c r="V58" s="1" t="str" cm="1">
        <f t="array" ref="V58">IFERROR(
  INDEX($A$99:$A$106,
    MATCH(
      LARGE( INDEX($E$99:$V$106, 0, COLUMN()-4) + ROW($A$99:$A$106)/1000, ROW(R1) ),
      INDEX($E$99:$V$106, 0, COLUMN()-4) + ROW($A$99:$A$106)/1000,
    0)
  ),
"")</f>
        <v>LAING</v>
      </c>
      <c r="W58" s="89"/>
    </row>
    <row r="59" spans="1:23" x14ac:dyDescent="0.2">
      <c r="A59" s="83" t="str">
        <f t="shared" ref="A59:A65" si="3">A43</f>
        <v>DEY</v>
      </c>
      <c r="B59" s="78">
        <f>'RND 5 MP'!U57</f>
        <v>24</v>
      </c>
      <c r="D59" s="83"/>
      <c r="E59" s="1" t="str" cm="1">
        <f t="array" ref="E59">IFERROR(
  INDEX($A$99:$A$106,
    MATCH(
      LARGE( INDEX($E$99:$V$106, 0, COLUMN()-4) + ROW($A$99:$A$106)/1000, ROW(A2) ),
      INDEX($E$99:$V$106, 0, COLUMN()-4) + ROW($A$99:$A$106)/1000,
    0)
  ),
"")</f>
        <v>DEY</v>
      </c>
      <c r="F59" s="1" t="str" cm="1">
        <f t="array" ref="F59">IFERROR(
  INDEX($A$99:$A$106,
    MATCH(
      LARGE( INDEX($E$99:$V$106, 0, COLUMN()-4) + ROW($A$99:$A$106)/1000, ROW(B2) ),
      INDEX($E$99:$V$106, 0, COLUMN()-4) + ROW($A$99:$A$106)/1000,
    0)
  ),
"")</f>
        <v>DEY</v>
      </c>
      <c r="G59" s="1" t="str" cm="1">
        <f t="array" ref="G59">IFERROR(
  INDEX($A$99:$A$106,
    MATCH(
      LARGE( INDEX($E$99:$V$106, 0, COLUMN()-4) + ROW($A$99:$A$106)/1000, ROW(C2) ),
      INDEX($E$99:$V$106, 0, COLUMN()-4) + ROW($A$99:$A$106)/1000,
    0)
  ),
"")</f>
        <v>DEY</v>
      </c>
      <c r="H59" s="1" t="str" cm="1">
        <f t="array" ref="H59">IFERROR(
  INDEX($A$99:$A$106,
    MATCH(
      LARGE( INDEX($E$99:$V$106, 0, COLUMN()-4) + ROW($A$99:$A$106)/1000, ROW(D2) ),
      INDEX($E$99:$V$106, 0, COLUMN()-4) + ROW($A$99:$A$106)/1000,
    0)
  ),
"")</f>
        <v>DEY</v>
      </c>
      <c r="I59" s="1" t="str" cm="1">
        <f t="array" ref="I59">IFERROR(
  INDEX($A$99:$A$106,
    MATCH(
      LARGE( INDEX($E$99:$V$106, 0, COLUMN()-4) + ROW($A$99:$A$106)/1000, ROW(E2) ),
      INDEX($E$99:$V$106, 0, COLUMN()-4) + ROW($A$99:$A$106)/1000,
    0)
  ),
"")</f>
        <v>DEY</v>
      </c>
      <c r="J59" s="1" t="str" cm="1">
        <f t="array" ref="J59">IFERROR(
  INDEX($A$99:$A$106,
    MATCH(
      LARGE( INDEX($E$99:$V$106, 0, COLUMN()-4) + ROW($A$99:$A$106)/1000, ROW(F2) ),
      INDEX($E$99:$V$106, 0, COLUMN()-4) + ROW($A$99:$A$106)/1000,
    0)
  ),
"")</f>
        <v>LAING</v>
      </c>
      <c r="K59" s="1" t="str" cm="1">
        <f t="array" ref="K59">IFERROR(
  INDEX($A$99:$A$106,
    MATCH(
      LARGE( INDEX($E$99:$V$106, 0, COLUMN()-4) + ROW($A$99:$A$106)/1000, ROW(G2) ),
      INDEX($E$99:$V$106, 0, COLUMN()-4) + ROW($A$99:$A$106)/1000,
    0)
  ),
"")</f>
        <v>LAING</v>
      </c>
      <c r="L59" s="1" t="str" cm="1">
        <f t="array" ref="L59">IFERROR(
  INDEX($A$99:$A$106,
    MATCH(
      LARGE( INDEX($E$99:$V$106, 0, COLUMN()-4) + ROW($A$99:$A$106)/1000, ROW(H2) ),
      INDEX($E$99:$V$106, 0, COLUMN()-4) + ROW($A$99:$A$106)/1000,
    0)
  ),
"")</f>
        <v>HOLLANDS</v>
      </c>
      <c r="M59" s="1" t="str" cm="1">
        <f t="array" ref="M59">IFERROR(
  INDEX($A$99:$A$106,
    MATCH(
      LARGE( INDEX($E$99:$V$106, 0, COLUMN()-4) + ROW($A$99:$A$106)/1000, ROW(I2) ),
      INDEX($E$99:$V$106, 0, COLUMN()-4) + ROW($A$99:$A$106)/1000,
    0)
  ),
"")</f>
        <v>LAING</v>
      </c>
      <c r="N59" s="1" t="str" cm="1">
        <f t="array" ref="N59">IFERROR(
  INDEX($A$99:$A$106,
    MATCH(
      LARGE( INDEX($E$99:$V$106, 0, COLUMN()-4) + ROW($A$99:$A$106)/1000, ROW(J2) ),
      INDEX($E$99:$V$106, 0, COLUMN()-4) + ROW($A$99:$A$106)/1000,
    0)
  ),
"")</f>
        <v>FINDLAY</v>
      </c>
      <c r="O59" s="1" t="str" cm="1">
        <f t="array" ref="O59">IFERROR(
  INDEX($A$99:$A$106,
    MATCH(
      LARGE( INDEX($E$99:$V$106, 0, COLUMN()-4) + ROW($A$99:$A$106)/1000, ROW(K2) ),
      INDEX($E$99:$V$106, 0, COLUMN()-4) + ROW($A$99:$A$106)/1000,
    0)
  ),
"")</f>
        <v>FINDLAY</v>
      </c>
      <c r="P59" s="1" t="str" cm="1">
        <f t="array" ref="P59">IFERROR(
  INDEX($A$99:$A$106,
    MATCH(
      LARGE( INDEX($E$99:$V$106, 0, COLUMN()-4) + ROW($A$99:$A$106)/1000, ROW(L2) ),
      INDEX($E$99:$V$106, 0, COLUMN()-4) + ROW($A$99:$A$106)/1000,
    0)
  ),
"")</f>
        <v>FINDLAY</v>
      </c>
      <c r="Q59" s="1" t="str" cm="1">
        <f t="array" ref="Q59">IFERROR(
  INDEX($A$99:$A$106,
    MATCH(
      LARGE( INDEX($E$99:$V$106, 0, COLUMN()-4) + ROW($A$99:$A$106)/1000, ROW(M2) ),
      INDEX($E$99:$V$106, 0, COLUMN()-4) + ROW($A$99:$A$106)/1000,
    0)
  ),
"")</f>
        <v>FINDLAY</v>
      </c>
      <c r="R59" s="1" t="str" cm="1">
        <f t="array" ref="R59">IFERROR(
  INDEX($A$99:$A$106,
    MATCH(
      LARGE( INDEX($E$99:$V$106, 0, COLUMN()-4) + ROW($A$99:$A$106)/1000, ROW(N2) ),
      INDEX($E$99:$V$106, 0, COLUMN()-4) + ROW($A$99:$A$106)/1000,
    0)
  ),
"")</f>
        <v>FINDLAY</v>
      </c>
      <c r="S59" s="1" t="str" cm="1">
        <f t="array" ref="S59">IFERROR(
  INDEX($A$99:$A$106,
    MATCH(
      LARGE( INDEX($E$99:$V$106, 0, COLUMN()-4) + ROW($A$99:$A$106)/1000, ROW(O2) ),
      INDEX($E$99:$V$106, 0, COLUMN()-4) + ROW($A$99:$A$106)/1000,
    0)
  ),
"")</f>
        <v>DONOVAN</v>
      </c>
      <c r="T59" s="1" t="str" cm="1">
        <f t="array" ref="T59">IFERROR(
  INDEX($A$99:$A$106,
    MATCH(
      LARGE( INDEX($E$99:$V$106, 0, COLUMN()-4) + ROW($A$99:$A$106)/1000, ROW(P2) ),
      INDEX($E$99:$V$106, 0, COLUMN()-4) + ROW($A$99:$A$106)/1000,
    0)
  ),
"")</f>
        <v>DONOVAN</v>
      </c>
      <c r="U59" s="1" t="str" cm="1">
        <f t="array" ref="U59">IFERROR(
  INDEX($A$99:$A$106,
    MATCH(
      LARGE( INDEX($E$99:$V$106, 0, COLUMN()-4) + ROW($A$99:$A$106)/1000, ROW(Q2) ),
      INDEX($E$99:$V$106, 0, COLUMN()-4) + ROW($A$99:$A$106)/1000,
    0)
  ),
"")</f>
        <v>DONOVAN</v>
      </c>
      <c r="V59" s="1" t="str" cm="1">
        <f t="array" ref="V59">IFERROR(
  INDEX($A$99:$A$106,
    MATCH(
      LARGE( INDEX($E$99:$V$106, 0, COLUMN()-4) + ROW($A$99:$A$106)/1000, ROW(R2) ),
      INDEX($E$99:$V$106, 0, COLUMN()-4) + ROW($A$99:$A$106)/1000,
    0)
  ),
"")</f>
        <v>STONES</v>
      </c>
      <c r="W59" s="89"/>
    </row>
    <row r="60" spans="1:23" x14ac:dyDescent="0.2">
      <c r="A60" s="83" t="str">
        <f t="shared" si="3"/>
        <v>DONOVAN</v>
      </c>
      <c r="B60" s="78">
        <f>'RND 5 MP'!U58</f>
        <v>22</v>
      </c>
      <c r="D60" s="83"/>
      <c r="E60" s="1" t="str" cm="1">
        <f t="array" ref="E60">IFERROR(
  INDEX($A$99:$A$106,
    MATCH(
      LARGE( INDEX($E$99:$V$106, 0, COLUMN()-4) + ROW($A$99:$A$106)/1000, ROW(A3) ),
      INDEX($E$99:$V$106, 0, COLUMN()-4) + ROW($A$99:$A$106)/1000,
    0)
  ),
"")</f>
        <v>HOLLANDS</v>
      </c>
      <c r="F60" s="1" t="str" cm="1">
        <f t="array" ref="F60">IFERROR(
  INDEX($A$99:$A$106,
    MATCH(
      LARGE( INDEX($E$99:$V$106, 0, COLUMN()-4) + ROW($A$99:$A$106)/1000, ROW(B3) ),
      INDEX($E$99:$V$106, 0, COLUMN()-4) + ROW($A$99:$A$106)/1000,
    0)
  ),
"")</f>
        <v>BELLIS</v>
      </c>
      <c r="G60" s="1" t="str" cm="1">
        <f t="array" ref="G60">IFERROR(
  INDEX($A$99:$A$106,
    MATCH(
      LARGE( INDEX($E$99:$V$106, 0, COLUMN()-4) + ROW($A$99:$A$106)/1000, ROW(C3) ),
      INDEX($E$99:$V$106, 0, COLUMN()-4) + ROW($A$99:$A$106)/1000,
    0)
  ),
"")</f>
        <v>DONOVAN</v>
      </c>
      <c r="H60" s="1" t="str" cm="1">
        <f t="array" ref="H60">IFERROR(
  INDEX($A$99:$A$106,
    MATCH(
      LARGE( INDEX($E$99:$V$106, 0, COLUMN()-4) + ROW($A$99:$A$106)/1000, ROW(D3) ),
      INDEX($E$99:$V$106, 0, COLUMN()-4) + ROW($A$99:$A$106)/1000,
    0)
  ),
"")</f>
        <v>DONOVAN</v>
      </c>
      <c r="I60" s="1" t="str" cm="1">
        <f t="array" ref="I60">IFERROR(
  INDEX($A$99:$A$106,
    MATCH(
      LARGE( INDEX($E$99:$V$106, 0, COLUMN()-4) + ROW($A$99:$A$106)/1000, ROW(E3) ),
      INDEX($E$99:$V$106, 0, COLUMN()-4) + ROW($A$99:$A$106)/1000,
    0)
  ),
"")</f>
        <v>HOLLANDS</v>
      </c>
      <c r="J60" s="1" t="str" cm="1">
        <f t="array" ref="J60">IFERROR(
  INDEX($A$99:$A$106,
    MATCH(
      LARGE( INDEX($E$99:$V$106, 0, COLUMN()-4) + ROW($A$99:$A$106)/1000, ROW(F3) ),
      INDEX($E$99:$V$106, 0, COLUMN()-4) + ROW($A$99:$A$106)/1000,
    0)
  ),
"")</f>
        <v>DEY</v>
      </c>
      <c r="K60" s="1" t="str" cm="1">
        <f t="array" ref="K60">IFERROR(
  INDEX($A$99:$A$106,
    MATCH(
      LARGE( INDEX($E$99:$V$106, 0, COLUMN()-4) + ROW($A$99:$A$106)/1000, ROW(G3) ),
      INDEX($E$99:$V$106, 0, COLUMN()-4) + ROW($A$99:$A$106)/1000,
    0)
  ),
"")</f>
        <v>FINDLAY</v>
      </c>
      <c r="L60" s="1" t="str" cm="1">
        <f t="array" ref="L60">IFERROR(
  INDEX($A$99:$A$106,
    MATCH(
      LARGE( INDEX($E$99:$V$106, 0, COLUMN()-4) + ROW($A$99:$A$106)/1000, ROW(H3) ),
      INDEX($E$99:$V$106, 0, COLUMN()-4) + ROW($A$99:$A$106)/1000,
    0)
  ),
"")</f>
        <v>FINDLAY</v>
      </c>
      <c r="M60" s="1" t="str" cm="1">
        <f t="array" ref="M60">IFERROR(
  INDEX($A$99:$A$106,
    MATCH(
      LARGE( INDEX($E$99:$V$106, 0, COLUMN()-4) + ROW($A$99:$A$106)/1000, ROW(I3) ),
      INDEX($E$99:$V$106, 0, COLUMN()-4) + ROW($A$99:$A$106)/1000,
    0)
  ),
"")</f>
        <v>FINDLAY</v>
      </c>
      <c r="N60" s="1" t="str" cm="1">
        <f t="array" ref="N60">IFERROR(
  INDEX($A$99:$A$106,
    MATCH(
      LARGE( INDEX($E$99:$V$106, 0, COLUMN()-4) + ROW($A$99:$A$106)/1000, ROW(J3) ),
      INDEX($E$99:$V$106, 0, COLUMN()-4) + ROW($A$99:$A$106)/1000,
    0)
  ),
"")</f>
        <v>HOLLANDS</v>
      </c>
      <c r="O60" s="1" t="str" cm="1">
        <f t="array" ref="O60">IFERROR(
  INDEX($A$99:$A$106,
    MATCH(
      LARGE( INDEX($E$99:$V$106, 0, COLUMN()-4) + ROW($A$99:$A$106)/1000, ROW(K3) ),
      INDEX($E$99:$V$106, 0, COLUMN()-4) + ROW($A$99:$A$106)/1000,
    0)
  ),
"")</f>
        <v>HOLLANDS</v>
      </c>
      <c r="P60" s="1" t="str" cm="1">
        <f t="array" ref="P60">IFERROR(
  INDEX($A$99:$A$106,
    MATCH(
      LARGE( INDEX($E$99:$V$106, 0, COLUMN()-4) + ROW($A$99:$A$106)/1000, ROW(L3) ),
      INDEX($E$99:$V$106, 0, COLUMN()-4) + ROW($A$99:$A$106)/1000,
    0)
  ),
"")</f>
        <v>HOLLANDS</v>
      </c>
      <c r="Q60" s="1" t="str" cm="1">
        <f t="array" ref="Q60">IFERROR(
  INDEX($A$99:$A$106,
    MATCH(
      LARGE( INDEX($E$99:$V$106, 0, COLUMN()-4) + ROW($A$99:$A$106)/1000, ROW(M3) ),
      INDEX($E$99:$V$106, 0, COLUMN()-4) + ROW($A$99:$A$106)/1000,
    0)
  ),
"")</f>
        <v>HOLLANDS</v>
      </c>
      <c r="R60" s="1" t="str" cm="1">
        <f t="array" ref="R60">IFERROR(
  INDEX($A$99:$A$106,
    MATCH(
      LARGE( INDEX($E$99:$V$106, 0, COLUMN()-4) + ROW($A$99:$A$106)/1000, ROW(N3) ),
      INDEX($E$99:$V$106, 0, COLUMN()-4) + ROW($A$99:$A$106)/1000,
    0)
  ),
"")</f>
        <v>HOLLANDS</v>
      </c>
      <c r="S60" s="1" t="str" cm="1">
        <f t="array" ref="S60">IFERROR(
  INDEX($A$99:$A$106,
    MATCH(
      LARGE( INDEX($E$99:$V$106, 0, COLUMN()-4) + ROW($A$99:$A$106)/1000, ROW(O3) ),
      INDEX($E$99:$V$106, 0, COLUMN()-4) + ROW($A$99:$A$106)/1000,
    0)
  ),
"")</f>
        <v>FINDLAY</v>
      </c>
      <c r="T60" s="1" t="str" cm="1">
        <f t="array" ref="T60">IFERROR(
  INDEX($A$99:$A$106,
    MATCH(
      LARGE( INDEX($E$99:$V$106, 0, COLUMN()-4) + ROW($A$99:$A$106)/1000, ROW(P3) ),
      INDEX($E$99:$V$106, 0, COLUMN()-4) + ROW($A$99:$A$106)/1000,
    0)
  ),
"")</f>
        <v>FINDLAY</v>
      </c>
      <c r="U60" s="1" t="str" cm="1">
        <f t="array" ref="U60">IFERROR(
  INDEX($A$99:$A$106,
    MATCH(
      LARGE( INDEX($E$99:$V$106, 0, COLUMN()-4) + ROW($A$99:$A$106)/1000, ROW(Q3) ),
      INDEX($E$99:$V$106, 0, COLUMN()-4) + ROW($A$99:$A$106)/1000,
    0)
  ),
"")</f>
        <v>FINDLAY</v>
      </c>
      <c r="V60" s="1" t="str" cm="1">
        <f t="array" ref="V60">IFERROR(
  INDEX($A$99:$A$106,
    MATCH(
      LARGE( INDEX($E$99:$V$106, 0, COLUMN()-4) + ROW($A$99:$A$106)/1000, ROW(R3) ),
      INDEX($E$99:$V$106, 0, COLUMN()-4) + ROW($A$99:$A$106)/1000,
    0)
  ),
"")</f>
        <v>REILLY</v>
      </c>
      <c r="W60" s="89"/>
    </row>
    <row r="61" spans="1:23" x14ac:dyDescent="0.2">
      <c r="A61" s="83" t="str">
        <f t="shared" si="3"/>
        <v>FINDLAY</v>
      </c>
      <c r="B61" s="78">
        <f>'RND 5 MP'!U59</f>
        <v>28</v>
      </c>
      <c r="D61" s="83"/>
      <c r="E61" s="1" t="str" cm="1">
        <f t="array" ref="E61">IFERROR(
  INDEX($A$99:$A$106,
    MATCH(
      LARGE( INDEX($E$99:$V$106, 0, COLUMN()-4) + ROW($A$99:$A$106)/1000, ROW(A4) ),
      INDEX($E$99:$V$106, 0, COLUMN()-4) + ROW($A$99:$A$106)/1000,
    0)
  ),
"")</f>
        <v>DONOVAN</v>
      </c>
      <c r="F61" s="1" t="str" cm="1">
        <f t="array" ref="F61">IFERROR(
  INDEX($A$99:$A$106,
    MATCH(
      LARGE( INDEX($E$99:$V$106, 0, COLUMN()-4) + ROW($A$99:$A$106)/1000, ROW(B4) ),
      INDEX($E$99:$V$106, 0, COLUMN()-4) + ROW($A$99:$A$106)/1000,
    0)
  ),
"")</f>
        <v>HOLLANDS</v>
      </c>
      <c r="G61" s="1" t="str" cm="1">
        <f t="array" ref="G61">IFERROR(
  INDEX($A$99:$A$106,
    MATCH(
      LARGE( INDEX($E$99:$V$106, 0, COLUMN()-4) + ROW($A$99:$A$106)/1000, ROW(C4) ),
      INDEX($E$99:$V$106, 0, COLUMN()-4) + ROW($A$99:$A$106)/1000,
    0)
  ),
"")</f>
        <v>FINDLAY</v>
      </c>
      <c r="H61" s="1" t="str" cm="1">
        <f t="array" ref="H61">IFERROR(
  INDEX($A$99:$A$106,
    MATCH(
      LARGE( INDEX($E$99:$V$106, 0, COLUMN()-4) + ROW($A$99:$A$106)/1000, ROW(D4) ),
      INDEX($E$99:$V$106, 0, COLUMN()-4) + ROW($A$99:$A$106)/1000,
    0)
  ),
"")</f>
        <v>HOLLANDS</v>
      </c>
      <c r="I61" s="1" t="str" cm="1">
        <f t="array" ref="I61">IFERROR(
  INDEX($A$99:$A$106,
    MATCH(
      LARGE( INDEX($E$99:$V$106, 0, COLUMN()-4) + ROW($A$99:$A$106)/1000, ROW(E4) ),
      INDEX($E$99:$V$106, 0, COLUMN()-4) + ROW($A$99:$A$106)/1000,
    0)
  ),
"")</f>
        <v>DONOVAN</v>
      </c>
      <c r="J61" s="1" t="str" cm="1">
        <f t="array" ref="J61">IFERROR(
  INDEX($A$99:$A$106,
    MATCH(
      LARGE( INDEX($E$99:$V$106, 0, COLUMN()-4) + ROW($A$99:$A$106)/1000, ROW(F4) ),
      INDEX($E$99:$V$106, 0, COLUMN()-4) + ROW($A$99:$A$106)/1000,
    0)
  ),
"")</f>
        <v>HOLLANDS</v>
      </c>
      <c r="K61" s="1" t="str" cm="1">
        <f t="array" ref="K61">IFERROR(
  INDEX($A$99:$A$106,
    MATCH(
      LARGE( INDEX($E$99:$V$106, 0, COLUMN()-4) + ROW($A$99:$A$106)/1000, ROW(G4) ),
      INDEX($E$99:$V$106, 0, COLUMN()-4) + ROW($A$99:$A$106)/1000,
    0)
  ),
"")</f>
        <v>DEY</v>
      </c>
      <c r="L61" s="1" t="str" cm="1">
        <f t="array" ref="L61">IFERROR(
  INDEX($A$99:$A$106,
    MATCH(
      LARGE( INDEX($E$99:$V$106, 0, COLUMN()-4) + ROW($A$99:$A$106)/1000, ROW(H4) ),
      INDEX($E$99:$V$106, 0, COLUMN()-4) + ROW($A$99:$A$106)/1000,
    0)
  ),
"")</f>
        <v>DEY</v>
      </c>
      <c r="M61" s="1" t="str" cm="1">
        <f t="array" ref="M61">IFERROR(
  INDEX($A$99:$A$106,
    MATCH(
      LARGE( INDEX($E$99:$V$106, 0, COLUMN()-4) + ROW($A$99:$A$106)/1000, ROW(I4) ),
      INDEX($E$99:$V$106, 0, COLUMN()-4) + ROW($A$99:$A$106)/1000,
    0)
  ),
"")</f>
        <v>BELLIS</v>
      </c>
      <c r="N61" s="1" t="str" cm="1">
        <f t="array" ref="N61">IFERROR(
  INDEX($A$99:$A$106,
    MATCH(
      LARGE( INDEX($E$99:$V$106, 0, COLUMN()-4) + ROW($A$99:$A$106)/1000, ROW(J4) ),
      INDEX($E$99:$V$106, 0, COLUMN()-4) + ROW($A$99:$A$106)/1000,
    0)
  ),
"")</f>
        <v>DONOVAN</v>
      </c>
      <c r="O61" s="1" t="str" cm="1">
        <f t="array" ref="O61">IFERROR(
  INDEX($A$99:$A$106,
    MATCH(
      LARGE( INDEX($E$99:$V$106, 0, COLUMN()-4) + ROW($A$99:$A$106)/1000, ROW(K4) ),
      INDEX($E$99:$V$106, 0, COLUMN()-4) + ROW($A$99:$A$106)/1000,
    0)
  ),
"")</f>
        <v>DONOVAN</v>
      </c>
      <c r="P61" s="1" t="str" cm="1">
        <f t="array" ref="P61">IFERROR(
  INDEX($A$99:$A$106,
    MATCH(
      LARGE( INDEX($E$99:$V$106, 0, COLUMN()-4) + ROW($A$99:$A$106)/1000, ROW(L4) ),
      INDEX($E$99:$V$106, 0, COLUMN()-4) + ROW($A$99:$A$106)/1000,
    0)
  ),
"")</f>
        <v>DONOVAN</v>
      </c>
      <c r="Q61" s="1" t="str" cm="1">
        <f t="array" ref="Q61">IFERROR(
  INDEX($A$99:$A$106,
    MATCH(
      LARGE( INDEX($E$99:$V$106, 0, COLUMN()-4) + ROW($A$99:$A$106)/1000, ROW(M4) ),
      INDEX($E$99:$V$106, 0, COLUMN()-4) + ROW($A$99:$A$106)/1000,
    0)
  ),
"")</f>
        <v>DONOVAN</v>
      </c>
      <c r="R61" s="1" t="str" cm="1">
        <f t="array" ref="R61">IFERROR(
  INDEX($A$99:$A$106,
    MATCH(
      LARGE( INDEX($E$99:$V$106, 0, COLUMN()-4) + ROW($A$99:$A$106)/1000, ROW(N4) ),
      INDEX($E$99:$V$106, 0, COLUMN()-4) + ROW($A$99:$A$106)/1000,
    0)
  ),
"")</f>
        <v>DONOVAN</v>
      </c>
      <c r="S61" s="1" t="str" cm="1">
        <f t="array" ref="S61">IFERROR(
  INDEX($A$99:$A$106,
    MATCH(
      LARGE( INDEX($E$99:$V$106, 0, COLUMN()-4) + ROW($A$99:$A$106)/1000, ROW(O4) ),
      INDEX($E$99:$V$106, 0, COLUMN()-4) + ROW($A$99:$A$106)/1000,
    0)
  ),
"")</f>
        <v>STONES</v>
      </c>
      <c r="T61" s="1" t="str" cm="1">
        <f t="array" ref="T61">IFERROR(
  INDEX($A$99:$A$106,
    MATCH(
      LARGE( INDEX($E$99:$V$106, 0, COLUMN()-4) + ROW($A$99:$A$106)/1000, ROW(P4) ),
      INDEX($E$99:$V$106, 0, COLUMN()-4) + ROW($A$99:$A$106)/1000,
    0)
  ),
"")</f>
        <v>STONES</v>
      </c>
      <c r="U61" s="1" t="str" cm="1">
        <f t="array" ref="U61">IFERROR(
  INDEX($A$99:$A$106,
    MATCH(
      LARGE( INDEX($E$99:$V$106, 0, COLUMN()-4) + ROW($A$99:$A$106)/1000, ROW(Q4) ),
      INDEX($E$99:$V$106, 0, COLUMN()-4) + ROW($A$99:$A$106)/1000,
    0)
  ),
"")</f>
        <v>STONES</v>
      </c>
      <c r="V61" s="1" t="str" cm="1">
        <f t="array" ref="V61">IFERROR(
  INDEX($A$99:$A$106,
    MATCH(
      LARGE( INDEX($E$99:$V$106, 0, COLUMN()-4) + ROW($A$99:$A$106)/1000, ROW(R4) ),
      INDEX($E$99:$V$106, 0, COLUMN()-4) + ROW($A$99:$A$106)/1000,
    0)
  ),
"")</f>
        <v>HOLLANDS</v>
      </c>
      <c r="W61" s="89"/>
    </row>
    <row r="62" spans="1:23" x14ac:dyDescent="0.2">
      <c r="A62" s="83" t="str">
        <f t="shared" si="3"/>
        <v>HOLLANDS</v>
      </c>
      <c r="B62" s="78">
        <f>'RND 5 MP'!U60</f>
        <v>24</v>
      </c>
      <c r="D62" s="83"/>
      <c r="E62" s="1" t="str" cm="1">
        <f t="array" ref="E62">IFERROR(
  INDEX($A$99:$A$106,
    MATCH(
      LARGE( INDEX($E$99:$V$106, 0, COLUMN()-4) + ROW($A$99:$A$106)/1000, ROW(A5) ),
      INDEX($E$99:$V$106, 0, COLUMN()-4) + ROW($A$99:$A$106)/1000,
    0)
  ),
"")</f>
        <v>STONES</v>
      </c>
      <c r="F62" s="1" t="str" cm="1">
        <f t="array" ref="F62">IFERROR(
  INDEX($A$99:$A$106,
    MATCH(
      LARGE( INDEX($E$99:$V$106, 0, COLUMN()-4) + ROW($A$99:$A$106)/1000, ROW(B5) ),
      INDEX($E$99:$V$106, 0, COLUMN()-4) + ROW($A$99:$A$106)/1000,
    0)
  ),
"")</f>
        <v>STONES</v>
      </c>
      <c r="G62" s="1" t="str" cm="1">
        <f t="array" ref="G62">IFERROR(
  INDEX($A$99:$A$106,
    MATCH(
      LARGE( INDEX($E$99:$V$106, 0, COLUMN()-4) + ROW($A$99:$A$106)/1000, ROW(C5) ),
      INDEX($E$99:$V$106, 0, COLUMN()-4) + ROW($A$99:$A$106)/1000,
    0)
  ),
"")</f>
        <v>STONES</v>
      </c>
      <c r="H62" s="1" t="str" cm="1">
        <f t="array" ref="H62">IFERROR(
  INDEX($A$99:$A$106,
    MATCH(
      LARGE( INDEX($E$99:$V$106, 0, COLUMN()-4) + ROW($A$99:$A$106)/1000, ROW(D5) ),
      INDEX($E$99:$V$106, 0, COLUMN()-4) + ROW($A$99:$A$106)/1000,
    0)
  ),
"")</f>
        <v>STONES</v>
      </c>
      <c r="I62" s="1" t="str" cm="1">
        <f t="array" ref="I62">IFERROR(
  INDEX($A$99:$A$106,
    MATCH(
      LARGE( INDEX($E$99:$V$106, 0, COLUMN()-4) + ROW($A$99:$A$106)/1000, ROW(E5) ),
      INDEX($E$99:$V$106, 0, COLUMN()-4) + ROW($A$99:$A$106)/1000,
    0)
  ),
"")</f>
        <v>STONES</v>
      </c>
      <c r="J62" s="1" t="str" cm="1">
        <f t="array" ref="J62">IFERROR(
  INDEX($A$99:$A$106,
    MATCH(
      LARGE( INDEX($E$99:$V$106, 0, COLUMN()-4) + ROW($A$99:$A$106)/1000, ROW(F5) ),
      INDEX($E$99:$V$106, 0, COLUMN()-4) + ROW($A$99:$A$106)/1000,
    0)
  ),
"")</f>
        <v>DONOVAN</v>
      </c>
      <c r="K62" s="1" t="str" cm="1">
        <f t="array" ref="K62">IFERROR(
  INDEX($A$99:$A$106,
    MATCH(
      LARGE( INDEX($E$99:$V$106, 0, COLUMN()-4) + ROW($A$99:$A$106)/1000, ROW(G5) ),
      INDEX($E$99:$V$106, 0, COLUMN()-4) + ROW($A$99:$A$106)/1000,
    0)
  ),
"")</f>
        <v>HOLLANDS</v>
      </c>
      <c r="L62" s="1" t="str" cm="1">
        <f t="array" ref="L62">IFERROR(
  INDEX($A$99:$A$106,
    MATCH(
      LARGE( INDEX($E$99:$V$106, 0, COLUMN()-4) + ROW($A$99:$A$106)/1000, ROW(H5) ),
      INDEX($E$99:$V$106, 0, COLUMN()-4) + ROW($A$99:$A$106)/1000,
    0)
  ),
"")</f>
        <v>DONOVAN</v>
      </c>
      <c r="M62" s="1" t="str" cm="1">
        <f t="array" ref="M62">IFERROR(
  INDEX($A$99:$A$106,
    MATCH(
      LARGE( INDEX($E$99:$V$106, 0, COLUMN()-4) + ROW($A$99:$A$106)/1000, ROW(I5) ),
      INDEX($E$99:$V$106, 0, COLUMN()-4) + ROW($A$99:$A$106)/1000,
    0)
  ),
"")</f>
        <v>HOLLANDS</v>
      </c>
      <c r="N62" s="1" t="str" cm="1">
        <f t="array" ref="N62">IFERROR(
  INDEX($A$99:$A$106,
    MATCH(
      LARGE( INDEX($E$99:$V$106, 0, COLUMN()-4) + ROW($A$99:$A$106)/1000, ROW(J5) ),
      INDEX($E$99:$V$106, 0, COLUMN()-4) + ROW($A$99:$A$106)/1000,
    0)
  ),
"")</f>
        <v>STONES</v>
      </c>
      <c r="O62" s="1" t="str" cm="1">
        <f t="array" ref="O62">IFERROR(
  INDEX($A$99:$A$106,
    MATCH(
      LARGE( INDEX($E$99:$V$106, 0, COLUMN()-4) + ROW($A$99:$A$106)/1000, ROW(K5) ),
      INDEX($E$99:$V$106, 0, COLUMN()-4) + ROW($A$99:$A$106)/1000,
    0)
  ),
"")</f>
        <v>STONES</v>
      </c>
      <c r="P62" s="1" t="str" cm="1">
        <f t="array" ref="P62">IFERROR(
  INDEX($A$99:$A$106,
    MATCH(
      LARGE( INDEX($E$99:$V$106, 0, COLUMN()-4) + ROW($A$99:$A$106)/1000, ROW(L5) ),
      INDEX($E$99:$V$106, 0, COLUMN()-4) + ROW($A$99:$A$106)/1000,
    0)
  ),
"")</f>
        <v>STONES</v>
      </c>
      <c r="Q62" s="1" t="str" cm="1">
        <f t="array" ref="Q62">IFERROR(
  INDEX($A$99:$A$106,
    MATCH(
      LARGE( INDEX($E$99:$V$106, 0, COLUMN()-4) + ROW($A$99:$A$106)/1000, ROW(M5) ),
      INDEX($E$99:$V$106, 0, COLUMN()-4) + ROW($A$99:$A$106)/1000,
    0)
  ),
"")</f>
        <v>STONES</v>
      </c>
      <c r="R62" s="1" t="str" cm="1">
        <f t="array" ref="R62">IFERROR(
  INDEX($A$99:$A$106,
    MATCH(
      LARGE( INDEX($E$99:$V$106, 0, COLUMN()-4) + ROW($A$99:$A$106)/1000, ROW(N5) ),
      INDEX($E$99:$V$106, 0, COLUMN()-4) + ROW($A$99:$A$106)/1000,
    0)
  ),
"")</f>
        <v>STONES</v>
      </c>
      <c r="S62" s="1" t="str" cm="1">
        <f t="array" ref="S62">IFERROR(
  INDEX($A$99:$A$106,
    MATCH(
      LARGE( INDEX($E$99:$V$106, 0, COLUMN()-4) + ROW($A$99:$A$106)/1000, ROW(O5) ),
      INDEX($E$99:$V$106, 0, COLUMN()-4) + ROW($A$99:$A$106)/1000,
    0)
  ),
"")</f>
        <v>REILLY</v>
      </c>
      <c r="T62" s="1" t="str" cm="1">
        <f t="array" ref="T62">IFERROR(
  INDEX($A$99:$A$106,
    MATCH(
      LARGE( INDEX($E$99:$V$106, 0, COLUMN()-4) + ROW($A$99:$A$106)/1000, ROW(P5) ),
      INDEX($E$99:$V$106, 0, COLUMN()-4) + ROW($A$99:$A$106)/1000,
    0)
  ),
"")</f>
        <v>REILLY</v>
      </c>
      <c r="U62" s="1" t="str" cm="1">
        <f t="array" ref="U62">IFERROR(
  INDEX($A$99:$A$106,
    MATCH(
      LARGE( INDEX($E$99:$V$106, 0, COLUMN()-4) + ROW($A$99:$A$106)/1000, ROW(Q5) ),
      INDEX($E$99:$V$106, 0, COLUMN()-4) + ROW($A$99:$A$106)/1000,
    0)
  ),
"")</f>
        <v>REILLY</v>
      </c>
      <c r="V62" s="1" t="str" cm="1">
        <f t="array" ref="V62">IFERROR(
  INDEX($A$99:$A$106,
    MATCH(
      LARGE( INDEX($E$99:$V$106, 0, COLUMN()-4) + ROW($A$99:$A$106)/1000, ROW(R5) ),
      INDEX($E$99:$V$106, 0, COLUMN()-4) + ROW($A$99:$A$106)/1000,
    0)
  ),
"")</f>
        <v>FINDLAY</v>
      </c>
      <c r="W62" s="89"/>
    </row>
    <row r="63" spans="1:23" x14ac:dyDescent="0.2">
      <c r="A63" s="83" t="str">
        <f t="shared" si="3"/>
        <v>LAING</v>
      </c>
      <c r="B63" s="78">
        <f>'RND 5 MP'!U61</f>
        <v>54</v>
      </c>
      <c r="D63" s="83"/>
      <c r="E63" s="1" t="str" cm="1">
        <f t="array" ref="E63">IFERROR(
  INDEX($A$99:$A$106,
    MATCH(
      LARGE( INDEX($E$99:$V$106, 0, COLUMN()-4) + ROW($A$99:$A$106)/1000, ROW(A6) ),
      INDEX($E$99:$V$106, 0, COLUMN()-4) + ROW($A$99:$A$106)/1000,
    0)
  ),
"")</f>
        <v>REILLY</v>
      </c>
      <c r="F63" s="1" t="str" cm="1">
        <f t="array" ref="F63">IFERROR(
  INDEX($A$99:$A$106,
    MATCH(
      LARGE( INDEX($E$99:$V$106, 0, COLUMN()-4) + ROW($A$99:$A$106)/1000, ROW(B6) ),
      INDEX($E$99:$V$106, 0, COLUMN()-4) + ROW($A$99:$A$106)/1000,
    0)
  ),
"")</f>
        <v>REILLY</v>
      </c>
      <c r="G63" s="1" t="str" cm="1">
        <f t="array" ref="G63">IFERROR(
  INDEX($A$99:$A$106,
    MATCH(
      LARGE( INDEX($E$99:$V$106, 0, COLUMN()-4) + ROW($A$99:$A$106)/1000, ROW(C6) ),
      INDEX($E$99:$V$106, 0, COLUMN()-4) + ROW($A$99:$A$106)/1000,
    0)
  ),
"")</f>
        <v>REILLY</v>
      </c>
      <c r="H63" s="1" t="str" cm="1">
        <f t="array" ref="H63">IFERROR(
  INDEX($A$99:$A$106,
    MATCH(
      LARGE( INDEX($E$99:$V$106, 0, COLUMN()-4) + ROW($A$99:$A$106)/1000, ROW(D6) ),
      INDEX($E$99:$V$106, 0, COLUMN()-4) + ROW($A$99:$A$106)/1000,
    0)
  ),
"")</f>
        <v>REILLY</v>
      </c>
      <c r="I63" s="1" t="str" cm="1">
        <f t="array" ref="I63">IFERROR(
  INDEX($A$99:$A$106,
    MATCH(
      LARGE( INDEX($E$99:$V$106, 0, COLUMN()-4) + ROW($A$99:$A$106)/1000, ROW(E6) ),
      INDEX($E$99:$V$106, 0, COLUMN()-4) + ROW($A$99:$A$106)/1000,
    0)
  ),
"")</f>
        <v>REILLY</v>
      </c>
      <c r="J63" s="1" t="str" cm="1">
        <f t="array" ref="J63">IFERROR(
  INDEX($A$99:$A$106,
    MATCH(
      LARGE( INDEX($E$99:$V$106, 0, COLUMN()-4) + ROW($A$99:$A$106)/1000, ROW(F6) ),
      INDEX($E$99:$V$106, 0, COLUMN()-4) + ROW($A$99:$A$106)/1000,
    0)
  ),
"")</f>
        <v>STONES</v>
      </c>
      <c r="K63" s="1" t="str" cm="1">
        <f t="array" ref="K63">IFERROR(
  INDEX($A$99:$A$106,
    MATCH(
      LARGE( INDEX($E$99:$V$106, 0, COLUMN()-4) + ROW($A$99:$A$106)/1000, ROW(G6) ),
      INDEX($E$99:$V$106, 0, COLUMN()-4) + ROW($A$99:$A$106)/1000,
    0)
  ),
"")</f>
        <v>DONOVAN</v>
      </c>
      <c r="L63" s="1" t="str" cm="1">
        <f t="array" ref="L63">IFERROR(
  INDEX($A$99:$A$106,
    MATCH(
      LARGE( INDEX($E$99:$V$106, 0, COLUMN()-4) + ROW($A$99:$A$106)/1000, ROW(H6) ),
      INDEX($E$99:$V$106, 0, COLUMN()-4) + ROW($A$99:$A$106)/1000,
    0)
  ),
"")</f>
        <v>STONES</v>
      </c>
      <c r="M63" s="1" t="str" cm="1">
        <f t="array" ref="M63">IFERROR(
  INDEX($A$99:$A$106,
    MATCH(
      LARGE( INDEX($E$99:$V$106, 0, COLUMN()-4) + ROW($A$99:$A$106)/1000, ROW(I6) ),
      INDEX($E$99:$V$106, 0, COLUMN()-4) + ROW($A$99:$A$106)/1000,
    0)
  ),
"")</f>
        <v>DONOVAN</v>
      </c>
      <c r="N63" s="1" t="str" cm="1">
        <f t="array" ref="N63">IFERROR(
  INDEX($A$99:$A$106,
    MATCH(
      LARGE( INDEX($E$99:$V$106, 0, COLUMN()-4) + ROW($A$99:$A$106)/1000, ROW(J6) ),
      INDEX($E$99:$V$106, 0, COLUMN()-4) + ROW($A$99:$A$106)/1000,
    0)
  ),
"")</f>
        <v>REILLY</v>
      </c>
      <c r="O63" s="1" t="str" cm="1">
        <f t="array" ref="O63">IFERROR(
  INDEX($A$99:$A$106,
    MATCH(
      LARGE( INDEX($E$99:$V$106, 0, COLUMN()-4) + ROW($A$99:$A$106)/1000, ROW(K6) ),
      INDEX($E$99:$V$106, 0, COLUMN()-4) + ROW($A$99:$A$106)/1000,
    0)
  ),
"")</f>
        <v>REILLY</v>
      </c>
      <c r="P63" s="1" t="str" cm="1">
        <f t="array" ref="P63">IFERROR(
  INDEX($A$99:$A$106,
    MATCH(
      LARGE( INDEX($E$99:$V$106, 0, COLUMN()-4) + ROW($A$99:$A$106)/1000, ROW(L6) ),
      INDEX($E$99:$V$106, 0, COLUMN()-4) + ROW($A$99:$A$106)/1000,
    0)
  ),
"")</f>
        <v>REILLY</v>
      </c>
      <c r="Q63" s="1" t="str" cm="1">
        <f t="array" ref="Q63">IFERROR(
  INDEX($A$99:$A$106,
    MATCH(
      LARGE( INDEX($E$99:$V$106, 0, COLUMN()-4) + ROW($A$99:$A$106)/1000, ROW(M6) ),
      INDEX($E$99:$V$106, 0, COLUMN()-4) + ROW($A$99:$A$106)/1000,
    0)
  ),
"")</f>
        <v>REILLY</v>
      </c>
      <c r="R63" s="1" t="str" cm="1">
        <f t="array" ref="R63">IFERROR(
  INDEX($A$99:$A$106,
    MATCH(
      LARGE( INDEX($E$99:$V$106, 0, COLUMN()-4) + ROW($A$99:$A$106)/1000, ROW(N6) ),
      INDEX($E$99:$V$106, 0, COLUMN()-4) + ROW($A$99:$A$106)/1000,
    0)
  ),
"")</f>
        <v>REILLY</v>
      </c>
      <c r="S63" s="1" t="str" cm="1">
        <f t="array" ref="S63">IFERROR(
  INDEX($A$99:$A$106,
    MATCH(
      LARGE( INDEX($E$99:$V$106, 0, COLUMN()-4) + ROW($A$99:$A$106)/1000, ROW(O6) ),
      INDEX($E$99:$V$106, 0, COLUMN()-4) + ROW($A$99:$A$106)/1000,
    0)
  ),
"")</f>
        <v>HOLLANDS</v>
      </c>
      <c r="T63" s="1" t="str" cm="1">
        <f t="array" ref="T63">IFERROR(
  INDEX($A$99:$A$106,
    MATCH(
      LARGE( INDEX($E$99:$V$106, 0, COLUMN()-4) + ROW($A$99:$A$106)/1000, ROW(P6) ),
      INDEX($E$99:$V$106, 0, COLUMN()-4) + ROW($A$99:$A$106)/1000,
    0)
  ),
"")</f>
        <v>HOLLANDS</v>
      </c>
      <c r="U63" s="1" t="str" cm="1">
        <f t="array" ref="U63">IFERROR(
  INDEX($A$99:$A$106,
    MATCH(
      LARGE( INDEX($E$99:$V$106, 0, COLUMN()-4) + ROW($A$99:$A$106)/1000, ROW(Q6) ),
      INDEX($E$99:$V$106, 0, COLUMN()-4) + ROW($A$99:$A$106)/1000,
    0)
  ),
"")</f>
        <v>HOLLANDS</v>
      </c>
      <c r="V63" s="1" t="str" cm="1">
        <f t="array" ref="V63">IFERROR(
  INDEX($A$99:$A$106,
    MATCH(
      LARGE( INDEX($E$99:$V$106, 0, COLUMN()-4) + ROW($A$99:$A$106)/1000, ROW(R6) ),
      INDEX($E$99:$V$106, 0, COLUMN()-4) + ROW($A$99:$A$106)/1000,
    0)
  ),
"")</f>
        <v>DONOVAN</v>
      </c>
      <c r="W63" s="89"/>
    </row>
    <row r="64" spans="1:23" x14ac:dyDescent="0.2">
      <c r="A64" s="83" t="str">
        <f t="shared" si="3"/>
        <v>REILLY</v>
      </c>
      <c r="B64" s="78">
        <f>'RND 5 MP'!U62</f>
        <v>8</v>
      </c>
      <c r="D64" s="83"/>
      <c r="E64" s="1" t="str" cm="1">
        <f t="array" ref="E64">IFERROR(
  INDEX($A$99:$A$106,
    MATCH(
      LARGE( INDEX($E$99:$V$106, 0, COLUMN()-4) + ROW($A$99:$A$106)/1000, ROW(A7) ),
      INDEX($E$99:$V$106, 0, COLUMN()-4) + ROW($A$99:$A$106)/1000,
    0)
  ),
"")</f>
        <v>FINDLAY</v>
      </c>
      <c r="F64" s="1" t="str" cm="1">
        <f t="array" ref="F64">IFERROR(
  INDEX($A$99:$A$106,
    MATCH(
      LARGE( INDEX($E$99:$V$106, 0, COLUMN()-4) + ROW($A$99:$A$106)/1000, ROW(B7) ),
      INDEX($E$99:$V$106, 0, COLUMN()-4) + ROW($A$99:$A$106)/1000,
    0)
  ),
"")</f>
        <v>FINDLAY</v>
      </c>
      <c r="G64" s="1" t="str" cm="1">
        <f t="array" ref="G64">IFERROR(
  INDEX($A$99:$A$106,
    MATCH(
      LARGE( INDEX($E$99:$V$106, 0, COLUMN()-4) + ROW($A$99:$A$106)/1000, ROW(C7) ),
      INDEX($E$99:$V$106, 0, COLUMN()-4) + ROW($A$99:$A$106)/1000,
    0)
  ),
"")</f>
        <v>HOLLANDS</v>
      </c>
      <c r="H64" s="1" t="str" cm="1">
        <f t="array" ref="H64">IFERROR(
  INDEX($A$99:$A$106,
    MATCH(
      LARGE( INDEX($E$99:$V$106, 0, COLUMN()-4) + ROW($A$99:$A$106)/1000, ROW(D7) ),
      INDEX($E$99:$V$106, 0, COLUMN()-4) + ROW($A$99:$A$106)/1000,
    0)
  ),
"")</f>
        <v>FINDLAY</v>
      </c>
      <c r="I64" s="1" t="str" cm="1">
        <f t="array" ref="I64">IFERROR(
  INDEX($A$99:$A$106,
    MATCH(
      LARGE( INDEX($E$99:$V$106, 0, COLUMN()-4) + ROW($A$99:$A$106)/1000, ROW(E7) ),
      INDEX($E$99:$V$106, 0, COLUMN()-4) + ROW($A$99:$A$106)/1000,
    0)
  ),
"")</f>
        <v>FINDLAY</v>
      </c>
      <c r="J64" s="1" t="str" cm="1">
        <f t="array" ref="J64">IFERROR(
  INDEX($A$99:$A$106,
    MATCH(
      LARGE( INDEX($E$99:$V$106, 0, COLUMN()-4) + ROW($A$99:$A$106)/1000, ROW(F7) ),
      INDEX($E$99:$V$106, 0, COLUMN()-4) + ROW($A$99:$A$106)/1000,
    0)
  ),
"")</f>
        <v>FINDLAY</v>
      </c>
      <c r="K64" s="1" t="str" cm="1">
        <f t="array" ref="K64">IFERROR(
  INDEX($A$99:$A$106,
    MATCH(
      LARGE( INDEX($E$99:$V$106, 0, COLUMN()-4) + ROW($A$99:$A$106)/1000, ROW(G7) ),
      INDEX($E$99:$V$106, 0, COLUMN()-4) + ROW($A$99:$A$106)/1000,
    0)
  ),
"")</f>
        <v>STONES</v>
      </c>
      <c r="L64" s="1" t="str" cm="1">
        <f t="array" ref="L64">IFERROR(
  INDEX($A$99:$A$106,
    MATCH(
      LARGE( INDEX($E$99:$V$106, 0, COLUMN()-4) + ROW($A$99:$A$106)/1000, ROW(H7) ),
      INDEX($E$99:$V$106, 0, COLUMN()-4) + ROW($A$99:$A$106)/1000,
    0)
  ),
"")</f>
        <v>REILLY</v>
      </c>
      <c r="M64" s="1" t="str" cm="1">
        <f t="array" ref="M64">IFERROR(
  INDEX($A$99:$A$106,
    MATCH(
      LARGE( INDEX($E$99:$V$106, 0, COLUMN()-4) + ROW($A$99:$A$106)/1000, ROW(I7) ),
      INDEX($E$99:$V$106, 0, COLUMN()-4) + ROW($A$99:$A$106)/1000,
    0)
  ),
"")</f>
        <v>REILLY</v>
      </c>
      <c r="N64" s="1" t="str" cm="1">
        <f t="array" ref="N64">IFERROR(
  INDEX($A$99:$A$106,
    MATCH(
      LARGE( INDEX($E$99:$V$106, 0, COLUMN()-4) + ROW($A$99:$A$106)/1000, ROW(J7) ),
      INDEX($E$99:$V$106, 0, COLUMN()-4) + ROW($A$99:$A$106)/1000,
    0)
  ),
"")</f>
        <v>DEY</v>
      </c>
      <c r="O64" s="1" t="str" cm="1">
        <f t="array" ref="O64">IFERROR(
  INDEX($A$99:$A$106,
    MATCH(
      LARGE( INDEX($E$99:$V$106, 0, COLUMN()-4) + ROW($A$99:$A$106)/1000, ROW(K7) ),
      INDEX($E$99:$V$106, 0, COLUMN()-4) + ROW($A$99:$A$106)/1000,
    0)
  ),
"")</f>
        <v>DEY</v>
      </c>
      <c r="P64" s="1" t="str" cm="1">
        <f t="array" ref="P64">IFERROR(
  INDEX($A$99:$A$106,
    MATCH(
      LARGE( INDEX($E$99:$V$106, 0, COLUMN()-4) + ROW($A$99:$A$106)/1000, ROW(L7) ),
      INDEX($E$99:$V$106, 0, COLUMN()-4) + ROW($A$99:$A$106)/1000,
    0)
  ),
"")</f>
        <v>DEY</v>
      </c>
      <c r="Q64" s="1" t="str" cm="1">
        <f t="array" ref="Q64">IFERROR(
  INDEX($A$99:$A$106,
    MATCH(
      LARGE( INDEX($E$99:$V$106, 0, COLUMN()-4) + ROW($A$99:$A$106)/1000, ROW(M7) ),
      INDEX($E$99:$V$106, 0, COLUMN()-4) + ROW($A$99:$A$106)/1000,
    0)
  ),
"")</f>
        <v>DEY</v>
      </c>
      <c r="R64" s="1" t="str" cm="1">
        <f t="array" ref="R64">IFERROR(
  INDEX($A$99:$A$106,
    MATCH(
      LARGE( INDEX($E$99:$V$106, 0, COLUMN()-4) + ROW($A$99:$A$106)/1000, ROW(N7) ),
      INDEX($E$99:$V$106, 0, COLUMN()-4) + ROW($A$99:$A$106)/1000,
    0)
  ),
"")</f>
        <v>DEY</v>
      </c>
      <c r="S64" s="1" t="str" cm="1">
        <f t="array" ref="S64">IFERROR(
  INDEX($A$99:$A$106,
    MATCH(
      LARGE( INDEX($E$99:$V$106, 0, COLUMN()-4) + ROW($A$99:$A$106)/1000, ROW(O7) ),
      INDEX($E$99:$V$106, 0, COLUMN()-4) + ROW($A$99:$A$106)/1000,
    0)
  ),
"")</f>
        <v>DEY</v>
      </c>
      <c r="T64" s="1" t="str" cm="1">
        <f t="array" ref="T64">IFERROR(
  INDEX($A$99:$A$106,
    MATCH(
      LARGE( INDEX($E$99:$V$106, 0, COLUMN()-4) + ROW($A$99:$A$106)/1000, ROW(P7) ),
      INDEX($E$99:$V$106, 0, COLUMN()-4) + ROW($A$99:$A$106)/1000,
    0)
  ),
"")</f>
        <v>DEY</v>
      </c>
      <c r="U64" s="1" t="str" cm="1">
        <f t="array" ref="U64">IFERROR(
  INDEX($A$99:$A$106,
    MATCH(
      LARGE( INDEX($E$99:$V$106, 0, COLUMN()-4) + ROW($A$99:$A$106)/1000, ROW(Q7) ),
      INDEX($E$99:$V$106, 0, COLUMN()-4) + ROW($A$99:$A$106)/1000,
    0)
  ),
"")</f>
        <v>DEY</v>
      </c>
      <c r="V64" s="1" t="str" cm="1">
        <f t="array" ref="V64">IFERROR(
  INDEX($A$99:$A$106,
    MATCH(
      LARGE( INDEX($E$99:$V$106, 0, COLUMN()-4) + ROW($A$99:$A$106)/1000, ROW(R7) ),
      INDEX($E$99:$V$106, 0, COLUMN()-4) + ROW($A$99:$A$106)/1000,
    0)
  ),
"")</f>
        <v>DEY</v>
      </c>
      <c r="W64" s="89"/>
    </row>
    <row r="65" spans="1:23" x14ac:dyDescent="0.2">
      <c r="A65" s="85" t="str">
        <f t="shared" si="3"/>
        <v>STONES</v>
      </c>
      <c r="B65" s="79">
        <f>'RND 5 MP'!U63</f>
        <v>6</v>
      </c>
      <c r="D65" s="85"/>
      <c r="E65" s="90" t="str" cm="1">
        <f t="array" ref="E65">IFERROR(
  INDEX($A$99:$A$106,
    MATCH(
      LARGE( INDEX($E$99:$V$106, 0, COLUMN()-4) + ROW($A$99:$A$106)/1000, ROW(A8) ),
      INDEX($E$99:$V$106, 0, COLUMN()-4) + ROW($A$99:$A$106)/1000,
    0)
  ),
"")</f>
        <v>BELLIS</v>
      </c>
      <c r="F65" s="90" t="str" cm="1">
        <f t="array" ref="F65">IFERROR(
  INDEX($A$99:$A$106,
    MATCH(
      LARGE( INDEX($E$99:$V$106, 0, COLUMN()-4) + ROW($A$99:$A$106)/1000, ROW(B8) ),
      INDEX($E$99:$V$106, 0, COLUMN()-4) + ROW($A$99:$A$106)/1000,
    0)
  ),
"")</f>
        <v>DONOVAN</v>
      </c>
      <c r="G65" s="90" t="str" cm="1">
        <f t="array" ref="G65">IFERROR(
  INDEX($A$99:$A$106,
    MATCH(
      LARGE( INDEX($E$99:$V$106, 0, COLUMN()-4) + ROW($A$99:$A$106)/1000, ROW(C8) ),
      INDEX($E$99:$V$106, 0, COLUMN()-4) + ROW($A$99:$A$106)/1000,
    0)
  ),
"")</f>
        <v>BELLIS</v>
      </c>
      <c r="H65" s="90" t="str" cm="1">
        <f t="array" ref="H65">IFERROR(
  INDEX($A$99:$A$106,
    MATCH(
      LARGE( INDEX($E$99:$V$106, 0, COLUMN()-4) + ROW($A$99:$A$106)/1000, ROW(D8) ),
      INDEX($E$99:$V$106, 0, COLUMN()-4) + ROW($A$99:$A$106)/1000,
    0)
  ),
"")</f>
        <v>BELLIS</v>
      </c>
      <c r="I65" s="90" t="str" cm="1">
        <f t="array" ref="I65">IFERROR(
  INDEX($A$99:$A$106,
    MATCH(
      LARGE( INDEX($E$99:$V$106, 0, COLUMN()-4) + ROW($A$99:$A$106)/1000, ROW(E8) ),
      INDEX($E$99:$V$106, 0, COLUMN()-4) + ROW($A$99:$A$106)/1000,
    0)
  ),
"")</f>
        <v>BELLIS</v>
      </c>
      <c r="J65" s="90" t="str" cm="1">
        <f t="array" ref="J65">IFERROR(
  INDEX($A$99:$A$106,
    MATCH(
      LARGE( INDEX($E$99:$V$106, 0, COLUMN()-4) + ROW($A$99:$A$106)/1000, ROW(F8) ),
      INDEX($E$99:$V$106, 0, COLUMN()-4) + ROW($A$99:$A$106)/1000,
    0)
  ),
"")</f>
        <v>BELLIS</v>
      </c>
      <c r="K65" s="90" t="str" cm="1">
        <f t="array" ref="K65">IFERROR(
  INDEX($A$99:$A$106,
    MATCH(
      LARGE( INDEX($E$99:$V$106, 0, COLUMN()-4) + ROW($A$99:$A$106)/1000, ROW(G8) ),
      INDEX($E$99:$V$106, 0, COLUMN()-4) + ROW($A$99:$A$106)/1000,
    0)
  ),
"")</f>
        <v>BELLIS</v>
      </c>
      <c r="L65" s="90" t="str" cm="1">
        <f t="array" ref="L65">IFERROR(
  INDEX($A$99:$A$106,
    MATCH(
      LARGE( INDEX($E$99:$V$106, 0, COLUMN()-4) + ROW($A$99:$A$106)/1000, ROW(H8) ),
      INDEX($E$99:$V$106, 0, COLUMN()-4) + ROW($A$99:$A$106)/1000,
    0)
  ),
"")</f>
        <v>BELLIS</v>
      </c>
      <c r="M65" s="90" t="str" cm="1">
        <f t="array" ref="M65">IFERROR(
  INDEX($A$99:$A$106,
    MATCH(
      LARGE( INDEX($E$99:$V$106, 0, COLUMN()-4) + ROW($A$99:$A$106)/1000, ROW(I8) ),
      INDEX($E$99:$V$106, 0, COLUMN()-4) + ROW($A$99:$A$106)/1000,
    0)
  ),
"")</f>
        <v>DEY</v>
      </c>
      <c r="N65" s="90" t="str" cm="1">
        <f t="array" ref="N65">IFERROR(
  INDEX($A$99:$A$106,
    MATCH(
      LARGE( INDEX($E$99:$V$106, 0, COLUMN()-4) + ROW($A$99:$A$106)/1000, ROW(J8) ),
      INDEX($E$99:$V$106, 0, COLUMN()-4) + ROW($A$99:$A$106)/1000,
    0)
  ),
"")</f>
        <v>BELLIS</v>
      </c>
      <c r="O65" s="90" t="str" cm="1">
        <f t="array" ref="O65">IFERROR(
  INDEX($A$99:$A$106,
    MATCH(
      LARGE( INDEX($E$99:$V$106, 0, COLUMN()-4) + ROW($A$99:$A$106)/1000, ROW(K8) ),
      INDEX($E$99:$V$106, 0, COLUMN()-4) + ROW($A$99:$A$106)/1000,
    0)
  ),
"")</f>
        <v>BELLIS</v>
      </c>
      <c r="P65" s="90" t="str" cm="1">
        <f t="array" ref="P65">IFERROR(
  INDEX($A$99:$A$106,
    MATCH(
      LARGE( INDEX($E$99:$V$106, 0, COLUMN()-4) + ROW($A$99:$A$106)/1000, ROW(L8) ),
      INDEX($E$99:$V$106, 0, COLUMN()-4) + ROW($A$99:$A$106)/1000,
    0)
  ),
"")</f>
        <v>BELLIS</v>
      </c>
      <c r="Q65" s="90" t="str" cm="1">
        <f t="array" ref="Q65">IFERROR(
  INDEX($A$99:$A$106,
    MATCH(
      LARGE( INDEX($E$99:$V$106, 0, COLUMN()-4) + ROW($A$99:$A$106)/1000, ROW(M8) ),
      INDEX($E$99:$V$106, 0, COLUMN()-4) + ROW($A$99:$A$106)/1000,
    0)
  ),
"")</f>
        <v>BELLIS</v>
      </c>
      <c r="R65" s="90" t="str" cm="1">
        <f t="array" ref="R65">IFERROR(
  INDEX($A$99:$A$106,
    MATCH(
      LARGE( INDEX($E$99:$V$106, 0, COLUMN()-4) + ROW($A$99:$A$106)/1000, ROW(N8) ),
      INDEX($E$99:$V$106, 0, COLUMN()-4) + ROW($A$99:$A$106)/1000,
    0)
  ),
"")</f>
        <v>BELLIS</v>
      </c>
      <c r="S65" s="90" t="str" cm="1">
        <f t="array" ref="S65">IFERROR(
  INDEX($A$99:$A$106,
    MATCH(
      LARGE( INDEX($E$99:$V$106, 0, COLUMN()-4) + ROW($A$99:$A$106)/1000, ROW(O8) ),
      INDEX($E$99:$V$106, 0, COLUMN()-4) + ROW($A$99:$A$106)/1000,
    0)
  ),
"")</f>
        <v>BELLIS</v>
      </c>
      <c r="T65" s="90" t="str" cm="1">
        <f t="array" ref="T65">IFERROR(
  INDEX($A$99:$A$106,
    MATCH(
      LARGE( INDEX($E$99:$V$106, 0, COLUMN()-4) + ROW($A$99:$A$106)/1000, ROW(P8) ),
      INDEX($E$99:$V$106, 0, COLUMN()-4) + ROW($A$99:$A$106)/1000,
    0)
  ),
"")</f>
        <v>BELLIS</v>
      </c>
      <c r="U65" s="90" t="str" cm="1">
        <f t="array" ref="U65">IFERROR(
  INDEX($A$99:$A$106,
    MATCH(
      LARGE( INDEX($E$99:$V$106, 0, COLUMN()-4) + ROW($A$99:$A$106)/1000, ROW(Q8) ),
      INDEX($E$99:$V$106, 0, COLUMN()-4) + ROW($A$99:$A$106)/1000,
    0)
  ),
"")</f>
        <v>BELLIS</v>
      </c>
      <c r="V65" s="90" t="str" cm="1">
        <f t="array" ref="V65">IFERROR(
  INDEX($A$99:$A$106,
    MATCH(
      LARGE( INDEX($E$99:$V$106, 0, COLUMN()-4) + ROW($A$99:$A$106)/1000, ROW(R8) ),
      INDEX($E$99:$V$106, 0, COLUMN()-4) + ROW($A$99:$A$106)/1000,
    0)
  ),
"")</f>
        <v>BELLIS</v>
      </c>
      <c r="W65" s="91"/>
    </row>
    <row r="72" spans="1:23" x14ac:dyDescent="0.2">
      <c r="A72" t="s">
        <v>99</v>
      </c>
    </row>
    <row r="73" spans="1:23" x14ac:dyDescent="0.2">
      <c r="A73" s="157"/>
      <c r="B73" s="227"/>
      <c r="C73" s="158"/>
      <c r="D73" s="158" t="s">
        <v>67</v>
      </c>
      <c r="E73" s="158" t="s">
        <v>66</v>
      </c>
      <c r="F73" s="158" t="s">
        <v>96</v>
      </c>
      <c r="G73" s="158" t="s">
        <v>98</v>
      </c>
      <c r="H73" s="4" t="s">
        <v>70</v>
      </c>
      <c r="I73" s="232" t="s">
        <v>104</v>
      </c>
    </row>
    <row r="74" spans="1:23" x14ac:dyDescent="0.2">
      <c r="A74" s="159" t="str">
        <f>'OVERALL CALC'!Q72</f>
        <v>1ST</v>
      </c>
      <c r="B74" s="159" t="str">
        <f>'OVERALL CALC'!R72</f>
        <v>⬆</v>
      </c>
      <c r="C74" s="159" t="str">
        <f>'OVERALL CALC'!S72</f>
        <v>FINDLAY</v>
      </c>
      <c r="D74" s="159">
        <f>'OVERALL CALC'!T72</f>
        <v>15</v>
      </c>
      <c r="E74" s="159">
        <f>'OVERALL CALC'!U72</f>
        <v>22.5</v>
      </c>
      <c r="F74" s="159">
        <f>'OVERALL CALC'!V72</f>
        <v>12</v>
      </c>
      <c r="G74" s="159">
        <f>'OVERALL CALC'!W72</f>
        <v>10.5</v>
      </c>
      <c r="H74" s="159">
        <f>'OVERALL CALC'!X72</f>
        <v>21</v>
      </c>
      <c r="I74" s="233">
        <f>'OVERALL CALC'!Y72</f>
        <v>81</v>
      </c>
    </row>
    <row r="75" spans="1:23" x14ac:dyDescent="0.2">
      <c r="A75" s="159" t="str">
        <f>'OVERALL CALC'!Q73</f>
        <v>2ND</v>
      </c>
      <c r="B75" s="159" t="str">
        <f>'OVERALL CALC'!R73</f>
        <v>⬆</v>
      </c>
      <c r="C75" s="159" t="str">
        <f>'OVERALL CALC'!S73</f>
        <v>HOLLANDS</v>
      </c>
      <c r="D75" s="159">
        <f>'OVERALL CALC'!T73</f>
        <v>12</v>
      </c>
      <c r="E75" s="159">
        <f>'OVERALL CALC'!U73</f>
        <v>22.5</v>
      </c>
      <c r="F75" s="159">
        <f>'OVERALL CALC'!V73</f>
        <v>15</v>
      </c>
      <c r="G75" s="159">
        <f>'OVERALL CALC'!W73</f>
        <v>10.5</v>
      </c>
      <c r="H75" s="159">
        <f>'OVERALL CALC'!X73</f>
        <v>16.5</v>
      </c>
      <c r="I75" s="233">
        <f>'OVERALL CALC'!Y73</f>
        <v>76.5</v>
      </c>
    </row>
    <row r="76" spans="1:23" x14ac:dyDescent="0.2">
      <c r="A76" s="159" t="str">
        <f>'OVERALL CALC'!Q74</f>
        <v>3RD</v>
      </c>
      <c r="B76" s="159" t="str">
        <f>'OVERALL CALC'!R74</f>
        <v>⬇</v>
      </c>
      <c r="C76" s="159" t="str">
        <f>'OVERALL CALC'!S74</f>
        <v>STONES</v>
      </c>
      <c r="D76" s="159">
        <f>'OVERALL CALC'!T74</f>
        <v>24</v>
      </c>
      <c r="E76" s="159">
        <f>'OVERALL CALC'!U74</f>
        <v>7.5</v>
      </c>
      <c r="F76" s="159">
        <f>'OVERALL CALC'!V74</f>
        <v>24</v>
      </c>
      <c r="G76" s="159">
        <f>'OVERALL CALC'!W74</f>
        <v>10.5</v>
      </c>
      <c r="H76" s="159">
        <f>'OVERALL CALC'!X74</f>
        <v>6</v>
      </c>
      <c r="I76" s="233">
        <f>'OVERALL CALC'!Y74</f>
        <v>72</v>
      </c>
    </row>
    <row r="77" spans="1:23" x14ac:dyDescent="0.2">
      <c r="A77" s="159" t="str">
        <f>'OVERALL CALC'!Q75</f>
        <v>=4TH</v>
      </c>
      <c r="B77" s="159" t="str">
        <f>'OVERALL CALC'!R75</f>
        <v>⬆</v>
      </c>
      <c r="C77" s="159" t="str">
        <f>'OVERALL CALC'!S75</f>
        <v>LAING</v>
      </c>
      <c r="D77" s="159">
        <f>'OVERALL CALC'!T75</f>
        <v>3</v>
      </c>
      <c r="E77" s="159">
        <f>'OVERALL CALC'!U75</f>
        <v>15</v>
      </c>
      <c r="F77" s="159">
        <f>'OVERALL CALC'!V75</f>
        <v>18</v>
      </c>
      <c r="G77" s="159">
        <f>'OVERALL CALC'!W75</f>
        <v>10.5</v>
      </c>
      <c r="H77" s="159">
        <f>'OVERALL CALC'!X75</f>
        <v>24</v>
      </c>
      <c r="I77" s="233">
        <f>'OVERALL CALC'!Y75</f>
        <v>70.5</v>
      </c>
    </row>
    <row r="78" spans="1:23" x14ac:dyDescent="0.2">
      <c r="A78" s="159" t="str">
        <f>'OVERALL CALC'!Q76</f>
        <v>=4TH</v>
      </c>
      <c r="B78" s="159" t="str">
        <f>'OVERALL CALC'!R76</f>
        <v>⬇</v>
      </c>
      <c r="C78" s="159" t="str">
        <f>'OVERALL CALC'!S76</f>
        <v>REILLY</v>
      </c>
      <c r="D78" s="159">
        <f>'OVERALL CALC'!T76</f>
        <v>18</v>
      </c>
      <c r="E78" s="159">
        <f>'OVERALL CALC'!U76</f>
        <v>12</v>
      </c>
      <c r="F78" s="159">
        <f>'OVERALL CALC'!V76</f>
        <v>21</v>
      </c>
      <c r="G78" s="159">
        <f>'OVERALL CALC'!W76</f>
        <v>10.5</v>
      </c>
      <c r="H78" s="159">
        <f>'OVERALL CALC'!X76</f>
        <v>9</v>
      </c>
      <c r="I78" s="233">
        <f>'OVERALL CALC'!Y76</f>
        <v>70.5</v>
      </c>
    </row>
    <row r="79" spans="1:23" x14ac:dyDescent="0.2">
      <c r="A79" s="159" t="str">
        <f>'OVERALL CALC'!Q77</f>
        <v>6TH</v>
      </c>
      <c r="B79" s="159" t="str">
        <f>'OVERALL CALC'!R77</f>
        <v>⬆</v>
      </c>
      <c r="C79" s="159" t="str">
        <f>'OVERALL CALC'!S77</f>
        <v>DEY</v>
      </c>
      <c r="D79" s="159">
        <f>'OVERALL CALC'!T77</f>
        <v>7.5</v>
      </c>
      <c r="E79" s="159">
        <f>'OVERALL CALC'!U77</f>
        <v>7.5</v>
      </c>
      <c r="F79" s="159">
        <f>'OVERALL CALC'!V77</f>
        <v>6</v>
      </c>
      <c r="G79" s="159">
        <f>'OVERALL CALC'!W77</f>
        <v>21</v>
      </c>
      <c r="H79" s="159">
        <f>'OVERALL CALC'!X77</f>
        <v>16.5</v>
      </c>
      <c r="I79" s="233">
        <f>'OVERALL CALC'!Y77</f>
        <v>58.5</v>
      </c>
    </row>
    <row r="80" spans="1:23" x14ac:dyDescent="0.2">
      <c r="A80" s="159" t="str">
        <f>'OVERALL CALC'!Q78</f>
        <v>7TH</v>
      </c>
      <c r="B80" s="159" t="str">
        <f>'OVERALL CALC'!R78</f>
        <v>–</v>
      </c>
      <c r="C80" s="159" t="str">
        <f>'OVERALL CALC'!S78</f>
        <v>DONOVAN</v>
      </c>
      <c r="D80" s="159">
        <f>'OVERALL CALC'!T78</f>
        <v>7.5</v>
      </c>
      <c r="E80" s="159">
        <f>'OVERALL CALC'!U78</f>
        <v>18</v>
      </c>
      <c r="F80" s="159">
        <f>'OVERALL CALC'!V78</f>
        <v>9</v>
      </c>
      <c r="G80" s="159">
        <f>'OVERALL CALC'!W78</f>
        <v>10.5</v>
      </c>
      <c r="H80" s="159">
        <f>'OVERALL CALC'!X78</f>
        <v>12</v>
      </c>
      <c r="I80" s="233">
        <f>'OVERALL CALC'!Y78</f>
        <v>57</v>
      </c>
    </row>
    <row r="81" spans="1:9" x14ac:dyDescent="0.2">
      <c r="A81" s="160" t="str">
        <f>'OVERALL CALC'!Q79</f>
        <v>8TH</v>
      </c>
      <c r="B81" s="160" t="str">
        <f>'OVERALL CALC'!R79</f>
        <v>⬇</v>
      </c>
      <c r="C81" s="160" t="str">
        <f>'OVERALL CALC'!S79</f>
        <v>BELLIS</v>
      </c>
      <c r="D81" s="160">
        <f>'OVERALL CALC'!T79</f>
        <v>21</v>
      </c>
      <c r="E81" s="160">
        <f>'OVERALL CALC'!U79</f>
        <v>3</v>
      </c>
      <c r="F81" s="160">
        <f>'OVERALL CALC'!V79</f>
        <v>3</v>
      </c>
      <c r="G81" s="160">
        <f>'OVERALL CALC'!W79</f>
        <v>24</v>
      </c>
      <c r="H81" s="160">
        <f>'OVERALL CALC'!X79</f>
        <v>3</v>
      </c>
      <c r="I81" s="234">
        <f>'OVERALL CALC'!Y79</f>
        <v>54</v>
      </c>
    </row>
    <row r="99" spans="1:23" x14ac:dyDescent="0.2">
      <c r="A99" s="157" t="str">
        <f>'RND 2 MP'!A56</f>
        <v>BELLIS</v>
      </c>
      <c r="B99" s="158">
        <f>'RND 2 MP'!B56</f>
        <v>18</v>
      </c>
      <c r="C99" s="158"/>
      <c r="D99" s="158"/>
      <c r="E99" s="158">
        <f>'RND 5 MP'!C56</f>
        <v>0</v>
      </c>
      <c r="F99" s="158">
        <f>'RND 5 MP'!D56</f>
        <v>2</v>
      </c>
      <c r="G99" s="158">
        <f>'RND 5 MP'!E56</f>
        <v>0</v>
      </c>
      <c r="H99" s="158">
        <f>'RND 5 MP'!F56</f>
        <v>0</v>
      </c>
      <c r="I99" s="158">
        <f>'RND 5 MP'!G56</f>
        <v>0</v>
      </c>
      <c r="J99" s="158">
        <f>'RND 5 MP'!H56</f>
        <v>0</v>
      </c>
      <c r="K99" s="158">
        <f>'RND 5 MP'!I56</f>
        <v>0</v>
      </c>
      <c r="L99" s="158">
        <f>'RND 5 MP'!J56</f>
        <v>0</v>
      </c>
      <c r="M99" s="158">
        <f>'RND 5 MP'!K56</f>
        <v>2</v>
      </c>
      <c r="N99" s="158">
        <f>'RND 5 MP'!L56</f>
        <v>0</v>
      </c>
      <c r="O99" s="158">
        <f>'RND 5 MP'!M56</f>
        <v>0</v>
      </c>
      <c r="P99" s="158">
        <f>'RND 5 MP'!N56</f>
        <v>0</v>
      </c>
      <c r="Q99" s="158">
        <f>'RND 5 MP'!O56</f>
        <v>0</v>
      </c>
      <c r="R99" s="158">
        <f>'RND 5 MP'!P56</f>
        <v>0</v>
      </c>
      <c r="S99" s="158">
        <f>'RND 5 MP'!Q56</f>
        <v>0</v>
      </c>
      <c r="T99" s="158">
        <f>'RND 5 MP'!R56</f>
        <v>0</v>
      </c>
      <c r="U99" s="158">
        <f>'RND 5 MP'!S56</f>
        <v>0</v>
      </c>
      <c r="V99" s="158">
        <f>'RND 5 MP'!T56</f>
        <v>0</v>
      </c>
      <c r="W99" s="4"/>
    </row>
    <row r="100" spans="1:23" x14ac:dyDescent="0.2">
      <c r="A100" s="159" t="str">
        <f>'RND 2 MP'!A57</f>
        <v>DEY</v>
      </c>
      <c r="B100">
        <f>'RND 2 MP'!B57</f>
        <v>18</v>
      </c>
      <c r="E100">
        <f>'RND 5 MP'!C57</f>
        <v>3</v>
      </c>
      <c r="F100">
        <f>'RND 5 MP'!D57</f>
        <v>3</v>
      </c>
      <c r="G100">
        <f>'RND 5 MP'!E57</f>
        <v>3</v>
      </c>
      <c r="H100">
        <f>'RND 5 MP'!F57</f>
        <v>3</v>
      </c>
      <c r="I100">
        <f>'RND 5 MP'!G57</f>
        <v>3</v>
      </c>
      <c r="J100">
        <f>'RND 5 MP'!H57</f>
        <v>3</v>
      </c>
      <c r="K100">
        <f>'RND 5 MP'!I57</f>
        <v>3</v>
      </c>
      <c r="L100">
        <f>'RND 5 MP'!J57</f>
        <v>3</v>
      </c>
      <c r="M100">
        <f>'RND 5 MP'!K57</f>
        <v>0</v>
      </c>
      <c r="N100">
        <f>'RND 5 MP'!L57</f>
        <v>0</v>
      </c>
      <c r="O100">
        <f>'RND 5 MP'!M57</f>
        <v>0</v>
      </c>
      <c r="P100">
        <f>'RND 5 MP'!N57</f>
        <v>0</v>
      </c>
      <c r="Q100">
        <f>'RND 5 MP'!O57</f>
        <v>0</v>
      </c>
      <c r="R100">
        <f>'RND 5 MP'!P57</f>
        <v>0</v>
      </c>
      <c r="S100">
        <f>'RND 5 MP'!Q57</f>
        <v>0</v>
      </c>
      <c r="T100">
        <f>'RND 5 MP'!R57</f>
        <v>0</v>
      </c>
      <c r="U100">
        <f>'RND 5 MP'!S57</f>
        <v>0</v>
      </c>
      <c r="V100">
        <f>'RND 5 MP'!T57</f>
        <v>0</v>
      </c>
      <c r="W100" s="9"/>
    </row>
    <row r="101" spans="1:23" x14ac:dyDescent="0.2">
      <c r="A101" s="159" t="str">
        <f>'RND 2 MP'!A58</f>
        <v>DONOVAN</v>
      </c>
      <c r="B101">
        <f>'RND 2 MP'!B58</f>
        <v>18</v>
      </c>
      <c r="E101">
        <f>'RND 5 MP'!C58</f>
        <v>1</v>
      </c>
      <c r="F101">
        <f>'RND 5 MP'!D58</f>
        <v>0</v>
      </c>
      <c r="G101">
        <f>'RND 5 MP'!E58</f>
        <v>2</v>
      </c>
      <c r="H101">
        <f>'RND 5 MP'!F58</f>
        <v>2</v>
      </c>
      <c r="I101">
        <f>'RND 5 MP'!G58</f>
        <v>1</v>
      </c>
      <c r="J101">
        <f>'RND 5 MP'!H58</f>
        <v>1</v>
      </c>
      <c r="K101">
        <f>'RND 5 MP'!I58</f>
        <v>1</v>
      </c>
      <c r="L101">
        <f>'RND 5 MP'!J58</f>
        <v>2</v>
      </c>
      <c r="M101">
        <f>'RND 5 MP'!K58</f>
        <v>1</v>
      </c>
      <c r="N101">
        <f>'RND 5 MP'!L58</f>
        <v>1</v>
      </c>
      <c r="O101">
        <f>'RND 5 MP'!M58</f>
        <v>1</v>
      </c>
      <c r="P101">
        <f>'RND 5 MP'!N58</f>
        <v>1</v>
      </c>
      <c r="Q101">
        <f>'RND 5 MP'!O58</f>
        <v>1</v>
      </c>
      <c r="R101">
        <f>'RND 5 MP'!P58</f>
        <v>1</v>
      </c>
      <c r="S101">
        <f>'RND 5 MP'!Q58</f>
        <v>2</v>
      </c>
      <c r="T101">
        <f>'RND 5 MP'!R58</f>
        <v>2</v>
      </c>
      <c r="U101">
        <f>'RND 5 MP'!S58</f>
        <v>2</v>
      </c>
      <c r="V101">
        <f>'RND 5 MP'!T58</f>
        <v>0</v>
      </c>
      <c r="W101" s="9"/>
    </row>
    <row r="102" spans="1:23" x14ac:dyDescent="0.2">
      <c r="A102" s="159" t="str">
        <f>'RND 2 MP'!A59</f>
        <v>FINDLAY</v>
      </c>
      <c r="B102">
        <f>'RND 2 MP'!B59</f>
        <v>18</v>
      </c>
      <c r="E102">
        <f>'RND 5 MP'!C59</f>
        <v>0</v>
      </c>
      <c r="F102">
        <f>'RND 5 MP'!D59</f>
        <v>0</v>
      </c>
      <c r="G102">
        <f>'RND 5 MP'!E59</f>
        <v>1</v>
      </c>
      <c r="H102">
        <f>'RND 5 MP'!F59</f>
        <v>0</v>
      </c>
      <c r="I102">
        <f>'RND 5 MP'!G59</f>
        <v>0</v>
      </c>
      <c r="J102">
        <f>'RND 5 MP'!H59</f>
        <v>0</v>
      </c>
      <c r="K102">
        <f>'RND 5 MP'!I59</f>
        <v>3</v>
      </c>
      <c r="L102">
        <f>'RND 5 MP'!J59</f>
        <v>3</v>
      </c>
      <c r="M102">
        <f>'RND 5 MP'!K59</f>
        <v>3</v>
      </c>
      <c r="N102">
        <f>'RND 5 MP'!L59</f>
        <v>3</v>
      </c>
      <c r="O102">
        <f>'RND 5 MP'!M59</f>
        <v>3</v>
      </c>
      <c r="P102">
        <f>'RND 5 MP'!N59</f>
        <v>3</v>
      </c>
      <c r="Q102">
        <f>'RND 5 MP'!O59</f>
        <v>3</v>
      </c>
      <c r="R102">
        <f>'RND 5 MP'!P59</f>
        <v>3</v>
      </c>
      <c r="S102">
        <f>'RND 5 MP'!Q59</f>
        <v>1</v>
      </c>
      <c r="T102">
        <f>'RND 5 MP'!R59</f>
        <v>1</v>
      </c>
      <c r="U102">
        <f>'RND 5 MP'!S59</f>
        <v>1</v>
      </c>
      <c r="V102">
        <f>'RND 5 MP'!T59</f>
        <v>0</v>
      </c>
      <c r="W102" s="9"/>
    </row>
    <row r="103" spans="1:23" x14ac:dyDescent="0.2">
      <c r="A103" s="159" t="str">
        <f>'RND 2 MP'!A60</f>
        <v>HOLLANDS</v>
      </c>
      <c r="B103">
        <f>'RND 2 MP'!B60</f>
        <v>18</v>
      </c>
      <c r="E103">
        <f>'RND 5 MP'!C60</f>
        <v>2</v>
      </c>
      <c r="F103">
        <f>'RND 5 MP'!D60</f>
        <v>1</v>
      </c>
      <c r="G103">
        <f>'RND 5 MP'!E60</f>
        <v>0</v>
      </c>
      <c r="H103">
        <f>'RND 5 MP'!F60</f>
        <v>1</v>
      </c>
      <c r="I103">
        <f>'RND 5 MP'!G60</f>
        <v>2</v>
      </c>
      <c r="J103">
        <f>'RND 5 MP'!H60</f>
        <v>2</v>
      </c>
      <c r="K103">
        <f>'RND 5 MP'!I60</f>
        <v>2</v>
      </c>
      <c r="L103">
        <f>'RND 5 MP'!J60</f>
        <v>3</v>
      </c>
      <c r="M103">
        <f>'RND 5 MP'!K60</f>
        <v>1</v>
      </c>
      <c r="N103">
        <f>'RND 5 MP'!L60</f>
        <v>2</v>
      </c>
      <c r="O103">
        <f>'RND 5 MP'!M60</f>
        <v>2</v>
      </c>
      <c r="P103">
        <f>'RND 5 MP'!N60</f>
        <v>2</v>
      </c>
      <c r="Q103">
        <f>'RND 5 MP'!O60</f>
        <v>2</v>
      </c>
      <c r="R103">
        <f>'RND 5 MP'!P60</f>
        <v>2</v>
      </c>
      <c r="S103">
        <f>'RND 5 MP'!Q60</f>
        <v>0</v>
      </c>
      <c r="T103">
        <f>'RND 5 MP'!R60</f>
        <v>0</v>
      </c>
      <c r="U103">
        <f>'RND 5 MP'!S60</f>
        <v>0</v>
      </c>
      <c r="V103">
        <f>'RND 5 MP'!T60</f>
        <v>0</v>
      </c>
      <c r="W103" s="9"/>
    </row>
    <row r="104" spans="1:23" x14ac:dyDescent="0.2">
      <c r="A104" s="159" t="str">
        <f>'RND 2 MP'!A61</f>
        <v>LAING</v>
      </c>
      <c r="B104">
        <f>'RND 2 MP'!B61</f>
        <v>18</v>
      </c>
      <c r="E104">
        <f>'RND 5 MP'!C61</f>
        <v>3</v>
      </c>
      <c r="F104">
        <f>'RND 5 MP'!D61</f>
        <v>3</v>
      </c>
      <c r="G104">
        <f>'RND 5 MP'!E61</f>
        <v>3</v>
      </c>
      <c r="H104">
        <f>'RND 5 MP'!F61</f>
        <v>3</v>
      </c>
      <c r="I104">
        <f>'RND 5 MP'!G61</f>
        <v>3</v>
      </c>
      <c r="J104">
        <f>'RND 5 MP'!H61</f>
        <v>3</v>
      </c>
      <c r="K104">
        <f>'RND 5 MP'!I61</f>
        <v>3</v>
      </c>
      <c r="L104">
        <f>'RND 5 MP'!J61</f>
        <v>3</v>
      </c>
      <c r="M104">
        <f>'RND 5 MP'!K61</f>
        <v>3</v>
      </c>
      <c r="N104">
        <f>'RND 5 MP'!L61</f>
        <v>3</v>
      </c>
      <c r="O104">
        <f>'RND 5 MP'!M61</f>
        <v>3</v>
      </c>
      <c r="P104">
        <f>'RND 5 MP'!N61</f>
        <v>3</v>
      </c>
      <c r="Q104">
        <f>'RND 5 MP'!O61</f>
        <v>3</v>
      </c>
      <c r="R104">
        <f>'RND 5 MP'!P61</f>
        <v>3</v>
      </c>
      <c r="S104">
        <f>'RND 5 MP'!Q61</f>
        <v>3</v>
      </c>
      <c r="T104">
        <f>'RND 5 MP'!R61</f>
        <v>3</v>
      </c>
      <c r="U104">
        <f>'RND 5 MP'!S61</f>
        <v>3</v>
      </c>
      <c r="V104">
        <f>'RND 5 MP'!T61</f>
        <v>3</v>
      </c>
      <c r="W104" s="9"/>
    </row>
    <row r="105" spans="1:23" x14ac:dyDescent="0.2">
      <c r="A105" s="159" t="str">
        <f>'RND 2 MP'!A62</f>
        <v>REILLY</v>
      </c>
      <c r="B105">
        <f>'RND 2 MP'!B62</f>
        <v>18</v>
      </c>
      <c r="E105">
        <f>'RND 5 MP'!C62</f>
        <v>0</v>
      </c>
      <c r="F105">
        <f>'RND 5 MP'!D62</f>
        <v>0</v>
      </c>
      <c r="G105">
        <f>'RND 5 MP'!E62</f>
        <v>0</v>
      </c>
      <c r="H105">
        <f>'RND 5 MP'!F62</f>
        <v>0</v>
      </c>
      <c r="I105">
        <f>'RND 5 MP'!G62</f>
        <v>0</v>
      </c>
      <c r="J105">
        <f>'RND 5 MP'!H62</f>
        <v>3</v>
      </c>
      <c r="K105">
        <f>'RND 5 MP'!I62</f>
        <v>3</v>
      </c>
      <c r="L105">
        <f>'RND 5 MP'!J62</f>
        <v>1</v>
      </c>
      <c r="M105">
        <f>'RND 5 MP'!K62</f>
        <v>0</v>
      </c>
      <c r="N105">
        <f>'RND 5 MP'!L62</f>
        <v>0</v>
      </c>
      <c r="O105">
        <f>'RND 5 MP'!M62</f>
        <v>0</v>
      </c>
      <c r="P105">
        <f>'RND 5 MP'!N62</f>
        <v>0</v>
      </c>
      <c r="Q105">
        <f>'RND 5 MP'!O62</f>
        <v>0</v>
      </c>
      <c r="R105">
        <f>'RND 5 MP'!P62</f>
        <v>0</v>
      </c>
      <c r="S105">
        <f>'RND 5 MP'!Q62</f>
        <v>0</v>
      </c>
      <c r="T105">
        <f>'RND 5 MP'!R62</f>
        <v>0</v>
      </c>
      <c r="U105">
        <f>'RND 5 MP'!S62</f>
        <v>0</v>
      </c>
      <c r="V105">
        <f>'RND 5 MP'!T62</f>
        <v>1</v>
      </c>
      <c r="W105" s="9"/>
    </row>
    <row r="106" spans="1:23" x14ac:dyDescent="0.2">
      <c r="A106" s="160" t="str">
        <f>'RND 2 MP'!A63</f>
        <v>STONES</v>
      </c>
      <c r="B106" s="161">
        <f>'RND 2 MP'!B63</f>
        <v>18</v>
      </c>
      <c r="C106" s="161"/>
      <c r="D106" s="161"/>
      <c r="E106" s="161">
        <f>'RND 5 MP'!C63</f>
        <v>0</v>
      </c>
      <c r="F106" s="161">
        <f>'RND 5 MP'!D63</f>
        <v>0</v>
      </c>
      <c r="G106" s="161">
        <f>'RND 5 MP'!E63</f>
        <v>0</v>
      </c>
      <c r="H106" s="161">
        <f>'RND 5 MP'!F63</f>
        <v>0</v>
      </c>
      <c r="I106" s="161">
        <f>'RND 5 MP'!G63</f>
        <v>0</v>
      </c>
      <c r="J106" s="161">
        <f>'RND 5 MP'!H63</f>
        <v>0</v>
      </c>
      <c r="K106" s="161">
        <f>'RND 5 MP'!I63</f>
        <v>0</v>
      </c>
      <c r="L106" s="161">
        <f>'RND 5 MP'!J63</f>
        <v>1</v>
      </c>
      <c r="M106" s="161">
        <f>'RND 5 MP'!K63</f>
        <v>3</v>
      </c>
      <c r="N106" s="161">
        <f>'RND 5 MP'!L63</f>
        <v>0</v>
      </c>
      <c r="O106" s="161">
        <f>'RND 5 MP'!M63</f>
        <v>0</v>
      </c>
      <c r="P106" s="161">
        <f>'RND 5 MP'!N63</f>
        <v>0</v>
      </c>
      <c r="Q106" s="161">
        <f>'RND 5 MP'!O63</f>
        <v>0</v>
      </c>
      <c r="R106" s="161">
        <f>'RND 5 MP'!P63</f>
        <v>0</v>
      </c>
      <c r="S106" s="161">
        <f>'RND 5 MP'!Q63</f>
        <v>0</v>
      </c>
      <c r="T106" s="161">
        <f>'RND 5 MP'!R63</f>
        <v>0</v>
      </c>
      <c r="U106" s="161">
        <f>'RND 5 MP'!S63</f>
        <v>0</v>
      </c>
      <c r="V106" s="161">
        <f>'RND 5 MP'!T63</f>
        <v>2</v>
      </c>
      <c r="W106" s="10"/>
    </row>
  </sheetData>
  <conditionalFormatting sqref="E58:V65">
    <cfRule type="expression" dxfId="6" priority="1">
      <formula>INDEX($E$99:$V$106, MATCH(E58, $A$99:$A$106, 0), COLUMN()-4)=1</formula>
    </cfRule>
    <cfRule type="expression" dxfId="5" priority="2">
      <formula>INDEX($E$99:$V$106, MATCH(E58, $A$99:$A$106, 0), COLUMN()-4)=3</formula>
    </cfRule>
    <cfRule type="expression" dxfId="4" priority="3">
      <formula>INDEX($E$99:$V$106, MATCH(E58, $A$99:$A$106, 0), COLUMN()-4)=2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4212-20B4-6A4B-956C-E4F9A1CF95F3}">
  <dimension ref="A1:AG74"/>
  <sheetViews>
    <sheetView zoomScale="56" zoomScaleNormal="100" workbookViewId="0">
      <selection activeCell="V12" sqref="V12"/>
    </sheetView>
  </sheetViews>
  <sheetFormatPr baseColWidth="10" defaultRowHeight="15" x14ac:dyDescent="0.2"/>
  <cols>
    <col min="1" max="1" width="13.1640625" bestFit="1" customWidth="1"/>
    <col min="22" max="22" width="12.33203125" customWidth="1"/>
  </cols>
  <sheetData>
    <row r="1" spans="1:33" x14ac:dyDescent="0.2">
      <c r="A1" t="s">
        <v>21</v>
      </c>
      <c r="Y1" s="324" t="s">
        <v>27</v>
      </c>
      <c r="Z1" s="325"/>
      <c r="AA1" s="325"/>
      <c r="AB1" s="325"/>
      <c r="AC1" s="325"/>
      <c r="AD1" s="325"/>
      <c r="AE1" s="325"/>
      <c r="AF1" s="325"/>
      <c r="AG1" s="326"/>
    </row>
    <row r="2" spans="1:33" x14ac:dyDescent="0.2">
      <c r="Y2" s="327"/>
      <c r="Z2" s="328"/>
      <c r="AA2" s="328"/>
      <c r="AB2" s="328"/>
      <c r="AC2" s="328"/>
      <c r="AD2" s="328"/>
      <c r="AE2" s="328"/>
      <c r="AF2" s="328"/>
      <c r="AG2" s="329"/>
    </row>
    <row r="3" spans="1:33" x14ac:dyDescent="0.2">
      <c r="Y3" s="83"/>
      <c r="AG3" s="84"/>
    </row>
    <row r="4" spans="1:33" x14ac:dyDescent="0.2">
      <c r="A4" s="172" t="s">
        <v>1</v>
      </c>
      <c r="B4" s="194" t="s">
        <v>15</v>
      </c>
      <c r="C4" s="195">
        <v>1</v>
      </c>
      <c r="D4" s="179">
        <v>2</v>
      </c>
      <c r="E4" s="179">
        <v>3</v>
      </c>
      <c r="F4" s="179">
        <v>4</v>
      </c>
      <c r="G4" s="179">
        <v>5</v>
      </c>
      <c r="H4" s="179">
        <v>6</v>
      </c>
      <c r="I4" s="179">
        <v>7</v>
      </c>
      <c r="J4" s="179">
        <v>8</v>
      </c>
      <c r="K4" s="179">
        <v>9</v>
      </c>
      <c r="L4" s="179">
        <v>10</v>
      </c>
      <c r="M4" s="179">
        <v>11</v>
      </c>
      <c r="N4" s="179">
        <v>12</v>
      </c>
      <c r="O4" s="179">
        <v>13</v>
      </c>
      <c r="P4" s="179">
        <v>14</v>
      </c>
      <c r="Q4" s="179">
        <v>15</v>
      </c>
      <c r="R4" s="179">
        <v>16</v>
      </c>
      <c r="S4" s="179">
        <v>17</v>
      </c>
      <c r="T4" s="179">
        <v>18</v>
      </c>
      <c r="U4" s="180" t="s">
        <v>2</v>
      </c>
      <c r="V4" s="184" t="s">
        <v>16</v>
      </c>
      <c r="Y4" s="185" t="str">
        <f t="shared" ref="Y4:Y11" si="0">A7</f>
        <v>BELLIS</v>
      </c>
      <c r="Z4" s="186">
        <f>U56</f>
        <v>4</v>
      </c>
      <c r="AA4" s="186">
        <f t="shared" ref="AA4:AA11" si="1">RANK(Z4,$Z$4:$Z$11,0)</f>
        <v>8</v>
      </c>
      <c r="AB4" s="186"/>
      <c r="AC4" s="186"/>
      <c r="AD4" s="186">
        <f t="shared" ref="AD4:AD11" si="2">IF(AA4=1,24,0)+(IF(AA4=2,21,0))+(IF(AA4=3,18,0))+(IF(AA4=4,15,0))+(IF(AA4=5,12,0))+(IF(AA4=6,9,0))+(IF(AA4=7,6,0))+(IF(AA4=8,3,0))</f>
        <v>3</v>
      </c>
      <c r="AE4" s="186">
        <f t="shared" ref="AE4:AE11" si="3">COUNTIF($AD$4:$AD$11,AD4)</f>
        <v>1</v>
      </c>
      <c r="AF4" s="186">
        <f t="shared" ref="AF4:AF11" si="4">SUMIF($AD$4:$AD$11,AD4)</f>
        <v>3</v>
      </c>
      <c r="AG4" s="187">
        <f>IF(AE4=3,AF4/3-3,0)+IF(AE4=2,AF4/2-1.5,0)+IF(AE4=1,AF4,0)+IF(AE4=4,AF4/4-4.5,0)+IF(AE4=5,AF4/5-6,0)+IF(AE4=6,AF4/6-7.5,0)+IF(AE4=7,AF4/7-9,0)+IF(AE4=8,AF4/8-10.5,0)</f>
        <v>3</v>
      </c>
    </row>
    <row r="5" spans="1:33" x14ac:dyDescent="0.2">
      <c r="A5" s="173"/>
      <c r="B5" s="175"/>
      <c r="C5" s="181">
        <v>3</v>
      </c>
      <c r="D5" s="181">
        <v>4</v>
      </c>
      <c r="E5" s="181">
        <v>5</v>
      </c>
      <c r="F5" s="181">
        <v>3</v>
      </c>
      <c r="G5" s="181">
        <v>4</v>
      </c>
      <c r="H5" s="181">
        <v>5</v>
      </c>
      <c r="I5" s="181">
        <v>4</v>
      </c>
      <c r="J5" s="181">
        <v>4</v>
      </c>
      <c r="K5" s="181">
        <v>4</v>
      </c>
      <c r="L5" s="181">
        <v>3</v>
      </c>
      <c r="M5" s="181">
        <v>4</v>
      </c>
      <c r="N5" s="181">
        <v>5</v>
      </c>
      <c r="O5" s="181">
        <v>3</v>
      </c>
      <c r="P5" s="181">
        <v>4</v>
      </c>
      <c r="Q5" s="181">
        <v>5</v>
      </c>
      <c r="R5" s="181">
        <v>4</v>
      </c>
      <c r="S5" s="181">
        <v>4</v>
      </c>
      <c r="T5" s="181">
        <v>4</v>
      </c>
      <c r="U5" s="175"/>
      <c r="Y5" s="188" t="str">
        <f t="shared" si="0"/>
        <v>DEY</v>
      </c>
      <c r="Z5" s="189">
        <f t="shared" ref="Z5:Z11" si="5">U57</f>
        <v>24</v>
      </c>
      <c r="AA5" s="189">
        <f t="shared" si="1"/>
        <v>3</v>
      </c>
      <c r="AB5" s="189"/>
      <c r="AC5" s="189"/>
      <c r="AD5" s="189">
        <f t="shared" si="2"/>
        <v>18</v>
      </c>
      <c r="AE5" s="189">
        <f t="shared" si="3"/>
        <v>2</v>
      </c>
      <c r="AF5" s="189">
        <f t="shared" si="4"/>
        <v>36</v>
      </c>
      <c r="AG5" s="190">
        <f t="shared" ref="AG5:AG11" si="6">IF(AE5=3,AF5/3-3,0)+IF(AE5=2,AF5/2-1.5,0)+IF(AE5=1,AF5,0)+IF(AE5=4,AF5/4-4.5,0)+IF(AE5=5,AF5/5-6,0)+IF(AE5=6,AF5/6-7.5,0)+IF(AE5=7,AF5/7-9,0)+IF(AE5=8,AF5/8-10.5,0)</f>
        <v>16.5</v>
      </c>
    </row>
    <row r="6" spans="1:33" x14ac:dyDescent="0.2">
      <c r="A6" s="173"/>
      <c r="B6" s="175"/>
      <c r="C6" s="182">
        <v>5</v>
      </c>
      <c r="D6" s="182">
        <v>3</v>
      </c>
      <c r="E6" s="182">
        <v>1</v>
      </c>
      <c r="F6" s="182">
        <v>11</v>
      </c>
      <c r="G6" s="182">
        <v>9</v>
      </c>
      <c r="H6" s="182">
        <v>17</v>
      </c>
      <c r="I6" s="182">
        <v>13</v>
      </c>
      <c r="J6" s="182">
        <v>15</v>
      </c>
      <c r="K6" s="182">
        <v>7</v>
      </c>
      <c r="L6" s="182">
        <v>18</v>
      </c>
      <c r="M6" s="182">
        <v>16</v>
      </c>
      <c r="N6" s="182">
        <v>6</v>
      </c>
      <c r="O6" s="182">
        <v>8</v>
      </c>
      <c r="P6" s="182">
        <v>10</v>
      </c>
      <c r="Q6" s="182">
        <v>12</v>
      </c>
      <c r="R6" s="182">
        <v>14</v>
      </c>
      <c r="S6" s="182">
        <v>4</v>
      </c>
      <c r="T6" s="182">
        <v>2</v>
      </c>
      <c r="U6" s="183"/>
      <c r="Y6" s="188" t="str">
        <f t="shared" si="0"/>
        <v>DONOVAN</v>
      </c>
      <c r="Z6" s="189">
        <f t="shared" si="5"/>
        <v>22</v>
      </c>
      <c r="AA6" s="189">
        <f t="shared" si="1"/>
        <v>5</v>
      </c>
      <c r="AB6" s="189"/>
      <c r="AC6" s="189"/>
      <c r="AD6" s="189">
        <f t="shared" si="2"/>
        <v>12</v>
      </c>
      <c r="AE6" s="189">
        <f t="shared" si="3"/>
        <v>1</v>
      </c>
      <c r="AF6" s="189">
        <f t="shared" si="4"/>
        <v>12</v>
      </c>
      <c r="AG6" s="190">
        <f t="shared" si="6"/>
        <v>12</v>
      </c>
    </row>
    <row r="7" spans="1:33" x14ac:dyDescent="0.2">
      <c r="A7" s="173" t="s">
        <v>3</v>
      </c>
      <c r="B7" s="114">
        <v>18</v>
      </c>
      <c r="C7" s="112">
        <v>8</v>
      </c>
      <c r="D7" s="112">
        <v>2</v>
      </c>
      <c r="E7" s="112">
        <v>8</v>
      </c>
      <c r="F7" s="112">
        <v>8</v>
      </c>
      <c r="G7" s="112">
        <v>8</v>
      </c>
      <c r="H7" s="112">
        <v>8</v>
      </c>
      <c r="I7" s="112">
        <v>8</v>
      </c>
      <c r="J7" s="112">
        <v>8</v>
      </c>
      <c r="K7" s="112">
        <v>2</v>
      </c>
      <c r="L7" s="112">
        <v>8</v>
      </c>
      <c r="M7" s="112">
        <v>8</v>
      </c>
      <c r="N7" s="112">
        <v>8</v>
      </c>
      <c r="O7" s="112">
        <v>8</v>
      </c>
      <c r="P7" s="112">
        <v>8</v>
      </c>
      <c r="Q7" s="112">
        <v>8</v>
      </c>
      <c r="R7" s="112">
        <v>8</v>
      </c>
      <c r="S7" s="112">
        <v>8</v>
      </c>
      <c r="T7" s="112">
        <v>9</v>
      </c>
      <c r="U7" s="8">
        <f>SUM(C7:T7)</f>
        <v>133</v>
      </c>
      <c r="Y7" s="188" t="str">
        <f t="shared" si="0"/>
        <v>FINDLAY</v>
      </c>
      <c r="Z7" s="189">
        <f t="shared" si="5"/>
        <v>28</v>
      </c>
      <c r="AA7" s="189">
        <f t="shared" si="1"/>
        <v>2</v>
      </c>
      <c r="AB7" s="189"/>
      <c r="AC7" s="189"/>
      <c r="AD7" s="189">
        <f t="shared" si="2"/>
        <v>21</v>
      </c>
      <c r="AE7" s="189">
        <f t="shared" si="3"/>
        <v>1</v>
      </c>
      <c r="AF7" s="189">
        <f t="shared" si="4"/>
        <v>21</v>
      </c>
      <c r="AG7" s="190">
        <f t="shared" si="6"/>
        <v>21</v>
      </c>
    </row>
    <row r="8" spans="1:33" x14ac:dyDescent="0.2">
      <c r="A8" s="173" t="s">
        <v>4</v>
      </c>
      <c r="B8" s="114">
        <v>18</v>
      </c>
      <c r="C8" s="112">
        <v>1</v>
      </c>
      <c r="D8" s="112">
        <v>1</v>
      </c>
      <c r="E8" s="112">
        <v>1</v>
      </c>
      <c r="F8" s="112">
        <v>1</v>
      </c>
      <c r="G8" s="112">
        <v>1</v>
      </c>
      <c r="H8" s="112">
        <v>1</v>
      </c>
      <c r="I8" s="112">
        <v>1</v>
      </c>
      <c r="J8" s="112">
        <v>1</v>
      </c>
      <c r="K8" s="112">
        <v>9</v>
      </c>
      <c r="L8" s="112">
        <v>9</v>
      </c>
      <c r="M8" s="112">
        <v>9</v>
      </c>
      <c r="N8" s="112">
        <v>9</v>
      </c>
      <c r="O8" s="112">
        <v>9</v>
      </c>
      <c r="P8" s="112">
        <v>9</v>
      </c>
      <c r="Q8" s="112">
        <v>9</v>
      </c>
      <c r="R8" s="112">
        <v>9</v>
      </c>
      <c r="S8" s="112">
        <v>9</v>
      </c>
      <c r="T8" s="112">
        <v>9</v>
      </c>
      <c r="U8" s="8">
        <f t="shared" ref="U8:U14" si="7">SUM(C8:T8)</f>
        <v>98</v>
      </c>
      <c r="Y8" s="188" t="str">
        <f t="shared" si="0"/>
        <v>HOLLANDS</v>
      </c>
      <c r="Z8" s="189">
        <f t="shared" si="5"/>
        <v>24</v>
      </c>
      <c r="AA8" s="189">
        <f t="shared" si="1"/>
        <v>3</v>
      </c>
      <c r="AB8" s="189"/>
      <c r="AC8" s="189"/>
      <c r="AD8" s="189">
        <f t="shared" si="2"/>
        <v>18</v>
      </c>
      <c r="AE8" s="189">
        <f t="shared" si="3"/>
        <v>2</v>
      </c>
      <c r="AF8" s="189">
        <f t="shared" si="4"/>
        <v>36</v>
      </c>
      <c r="AG8" s="190">
        <f t="shared" si="6"/>
        <v>16.5</v>
      </c>
    </row>
    <row r="9" spans="1:33" x14ac:dyDescent="0.2">
      <c r="A9" s="173" t="s">
        <v>5</v>
      </c>
      <c r="B9" s="114">
        <v>18</v>
      </c>
      <c r="C9" s="112">
        <v>4</v>
      </c>
      <c r="D9" s="112">
        <v>9</v>
      </c>
      <c r="E9" s="112">
        <v>3</v>
      </c>
      <c r="F9" s="112">
        <v>2</v>
      </c>
      <c r="G9" s="112">
        <v>4</v>
      </c>
      <c r="H9" s="112">
        <v>4</v>
      </c>
      <c r="I9" s="112">
        <v>4</v>
      </c>
      <c r="J9" s="112">
        <v>4</v>
      </c>
      <c r="K9" s="112">
        <v>4</v>
      </c>
      <c r="L9" s="112">
        <v>4</v>
      </c>
      <c r="M9" s="112">
        <v>4</v>
      </c>
      <c r="N9" s="112">
        <v>4</v>
      </c>
      <c r="O9" s="112">
        <v>4</v>
      </c>
      <c r="P9" s="112">
        <v>4</v>
      </c>
      <c r="Q9" s="112">
        <v>4</v>
      </c>
      <c r="R9" s="112">
        <v>4</v>
      </c>
      <c r="S9" s="112">
        <v>4</v>
      </c>
      <c r="T9" s="112">
        <v>8</v>
      </c>
      <c r="U9" s="8">
        <f t="shared" si="7"/>
        <v>78</v>
      </c>
      <c r="Y9" s="188" t="str">
        <f t="shared" si="0"/>
        <v>LAING</v>
      </c>
      <c r="Z9" s="189">
        <f t="shared" si="5"/>
        <v>54</v>
      </c>
      <c r="AA9" s="189">
        <f t="shared" si="1"/>
        <v>1</v>
      </c>
      <c r="AB9" s="189"/>
      <c r="AC9" s="189"/>
      <c r="AD9" s="189">
        <f t="shared" si="2"/>
        <v>24</v>
      </c>
      <c r="AE9" s="189">
        <f t="shared" si="3"/>
        <v>1</v>
      </c>
      <c r="AF9" s="189">
        <f t="shared" si="4"/>
        <v>24</v>
      </c>
      <c r="AG9" s="190">
        <f t="shared" si="6"/>
        <v>24</v>
      </c>
    </row>
    <row r="10" spans="1:33" x14ac:dyDescent="0.2">
      <c r="A10" s="173" t="s">
        <v>6</v>
      </c>
      <c r="B10" s="114">
        <v>18</v>
      </c>
      <c r="C10" s="112">
        <v>5</v>
      </c>
      <c r="D10" s="112">
        <v>8</v>
      </c>
      <c r="E10" s="112">
        <v>5</v>
      </c>
      <c r="F10" s="112">
        <v>5</v>
      </c>
      <c r="G10" s="112">
        <v>5</v>
      </c>
      <c r="H10" s="112">
        <v>5</v>
      </c>
      <c r="I10" s="112">
        <v>1</v>
      </c>
      <c r="J10" s="112">
        <v>1</v>
      </c>
      <c r="K10" s="112">
        <v>1</v>
      </c>
      <c r="L10" s="112">
        <v>1</v>
      </c>
      <c r="M10" s="112">
        <v>1</v>
      </c>
      <c r="N10" s="112">
        <v>1</v>
      </c>
      <c r="O10" s="112">
        <v>1</v>
      </c>
      <c r="P10" s="112">
        <v>1</v>
      </c>
      <c r="Q10" s="112">
        <v>5</v>
      </c>
      <c r="R10" s="112">
        <v>5</v>
      </c>
      <c r="S10" s="112">
        <v>5</v>
      </c>
      <c r="T10" s="112">
        <v>7</v>
      </c>
      <c r="U10" s="8">
        <f t="shared" si="7"/>
        <v>63</v>
      </c>
      <c r="Y10" s="188" t="str">
        <f t="shared" si="0"/>
        <v>REILLY</v>
      </c>
      <c r="Z10" s="189">
        <f t="shared" si="5"/>
        <v>8</v>
      </c>
      <c r="AA10" s="189">
        <f t="shared" si="1"/>
        <v>6</v>
      </c>
      <c r="AB10" s="189"/>
      <c r="AC10" s="189"/>
      <c r="AD10" s="189">
        <f t="shared" si="2"/>
        <v>9</v>
      </c>
      <c r="AE10" s="189">
        <f t="shared" si="3"/>
        <v>1</v>
      </c>
      <c r="AF10" s="189">
        <f t="shared" si="4"/>
        <v>9</v>
      </c>
      <c r="AG10" s="190">
        <f t="shared" si="6"/>
        <v>9</v>
      </c>
    </row>
    <row r="11" spans="1:33" x14ac:dyDescent="0.2">
      <c r="A11" s="173" t="s">
        <v>7</v>
      </c>
      <c r="B11" s="114">
        <v>18</v>
      </c>
      <c r="C11" s="112">
        <v>2</v>
      </c>
      <c r="D11" s="112">
        <v>3</v>
      </c>
      <c r="E11" s="112">
        <v>6</v>
      </c>
      <c r="F11" s="112">
        <v>3</v>
      </c>
      <c r="G11" s="112">
        <v>2</v>
      </c>
      <c r="H11" s="112">
        <v>2</v>
      </c>
      <c r="I11" s="112">
        <v>2</v>
      </c>
      <c r="J11" s="112">
        <v>1</v>
      </c>
      <c r="K11" s="112">
        <v>4</v>
      </c>
      <c r="L11" s="112">
        <v>2</v>
      </c>
      <c r="M11" s="112">
        <v>2</v>
      </c>
      <c r="N11" s="112">
        <v>2</v>
      </c>
      <c r="O11" s="112">
        <v>2</v>
      </c>
      <c r="P11" s="112">
        <v>2</v>
      </c>
      <c r="Q11" s="112">
        <v>6</v>
      </c>
      <c r="R11" s="112">
        <v>6</v>
      </c>
      <c r="S11" s="112">
        <v>6</v>
      </c>
      <c r="T11" s="112">
        <v>7</v>
      </c>
      <c r="U11" s="8">
        <f t="shared" si="7"/>
        <v>60</v>
      </c>
      <c r="Y11" s="191" t="str">
        <f t="shared" si="0"/>
        <v>STONES</v>
      </c>
      <c r="Z11" s="192">
        <f t="shared" si="5"/>
        <v>6</v>
      </c>
      <c r="AA11" s="192">
        <f t="shared" si="1"/>
        <v>7</v>
      </c>
      <c r="AB11" s="192"/>
      <c r="AC11" s="192"/>
      <c r="AD11" s="192">
        <f t="shared" si="2"/>
        <v>6</v>
      </c>
      <c r="AE11" s="192">
        <f t="shared" si="3"/>
        <v>1</v>
      </c>
      <c r="AF11" s="192">
        <f t="shared" si="4"/>
        <v>6</v>
      </c>
      <c r="AG11" s="193">
        <f t="shared" si="6"/>
        <v>6</v>
      </c>
    </row>
    <row r="12" spans="1:33" x14ac:dyDescent="0.2">
      <c r="A12" s="173" t="s">
        <v>8</v>
      </c>
      <c r="B12" s="114">
        <v>18</v>
      </c>
      <c r="C12" s="112">
        <v>1</v>
      </c>
      <c r="D12" s="112">
        <v>1</v>
      </c>
      <c r="E12" s="112">
        <v>1</v>
      </c>
      <c r="F12" s="112">
        <v>1</v>
      </c>
      <c r="G12" s="112">
        <v>1</v>
      </c>
      <c r="H12" s="112">
        <v>1</v>
      </c>
      <c r="I12" s="112">
        <v>1</v>
      </c>
      <c r="J12" s="112">
        <v>1</v>
      </c>
      <c r="K12" s="112">
        <v>1</v>
      </c>
      <c r="L12" s="112">
        <v>1</v>
      </c>
      <c r="M12" s="112">
        <v>1</v>
      </c>
      <c r="N12" s="112">
        <v>1</v>
      </c>
      <c r="O12" s="112">
        <v>1</v>
      </c>
      <c r="P12" s="112">
        <v>1</v>
      </c>
      <c r="Q12" s="112">
        <v>1</v>
      </c>
      <c r="R12" s="112">
        <v>1</v>
      </c>
      <c r="S12" s="112">
        <v>1</v>
      </c>
      <c r="T12" s="112">
        <v>1</v>
      </c>
      <c r="U12" s="8">
        <f t="shared" si="7"/>
        <v>18</v>
      </c>
      <c r="Y12" s="83"/>
      <c r="AG12" s="84"/>
    </row>
    <row r="13" spans="1:33" x14ac:dyDescent="0.2">
      <c r="A13" s="173" t="s">
        <v>9</v>
      </c>
      <c r="B13" s="114">
        <v>18</v>
      </c>
      <c r="C13" s="112">
        <v>7</v>
      </c>
      <c r="D13" s="112">
        <v>5</v>
      </c>
      <c r="E13" s="112">
        <v>7</v>
      </c>
      <c r="F13" s="112">
        <v>7</v>
      </c>
      <c r="G13" s="112">
        <v>7</v>
      </c>
      <c r="H13" s="112">
        <v>1</v>
      </c>
      <c r="I13" s="112">
        <v>1</v>
      </c>
      <c r="J13" s="112">
        <v>7</v>
      </c>
      <c r="K13" s="112">
        <v>7</v>
      </c>
      <c r="L13" s="112">
        <v>7</v>
      </c>
      <c r="M13" s="112">
        <v>7</v>
      </c>
      <c r="N13" s="112">
        <v>7</v>
      </c>
      <c r="O13" s="112">
        <v>7</v>
      </c>
      <c r="P13" s="112">
        <v>7</v>
      </c>
      <c r="Q13" s="112">
        <v>7</v>
      </c>
      <c r="R13" s="112">
        <v>6</v>
      </c>
      <c r="S13" s="112">
        <v>7</v>
      </c>
      <c r="T13" s="112">
        <v>5</v>
      </c>
      <c r="U13" s="8">
        <f t="shared" si="7"/>
        <v>109</v>
      </c>
      <c r="Y13" s="83"/>
      <c r="AG13" s="84"/>
    </row>
    <row r="14" spans="1:33" x14ac:dyDescent="0.2">
      <c r="A14" s="174" t="s">
        <v>10</v>
      </c>
      <c r="B14" s="115">
        <v>18</v>
      </c>
      <c r="C14" s="113">
        <v>7</v>
      </c>
      <c r="D14" s="113">
        <v>4</v>
      </c>
      <c r="E14" s="113">
        <v>7</v>
      </c>
      <c r="F14" s="113">
        <v>7</v>
      </c>
      <c r="G14" s="113">
        <v>7</v>
      </c>
      <c r="H14" s="113">
        <v>7</v>
      </c>
      <c r="I14" s="113">
        <v>7</v>
      </c>
      <c r="J14" s="113">
        <v>7</v>
      </c>
      <c r="K14" s="113">
        <v>1</v>
      </c>
      <c r="L14" s="113">
        <v>7</v>
      </c>
      <c r="M14" s="113">
        <v>7</v>
      </c>
      <c r="N14" s="113">
        <v>7</v>
      </c>
      <c r="O14" s="113">
        <v>7</v>
      </c>
      <c r="P14" s="113">
        <v>7</v>
      </c>
      <c r="Q14" s="113">
        <v>7</v>
      </c>
      <c r="R14" s="113">
        <v>7</v>
      </c>
      <c r="S14" s="113">
        <v>7</v>
      </c>
      <c r="T14" s="113">
        <v>4</v>
      </c>
      <c r="U14" s="7">
        <f t="shared" si="7"/>
        <v>114</v>
      </c>
      <c r="Y14" s="185" t="str">
        <f t="shared" ref="Y14:Z21" si="8">Y4</f>
        <v>BELLIS</v>
      </c>
      <c r="Z14" s="186">
        <f t="shared" si="8"/>
        <v>4</v>
      </c>
      <c r="AA14" s="186">
        <f t="shared" ref="AA14:AA21" si="9">AG4</f>
        <v>3</v>
      </c>
      <c r="AB14" s="186">
        <f>RANK(Z14,$Z$14:$Z$21,0)+COUNTIF($Z$14:Z14,Z14)-1</f>
        <v>8</v>
      </c>
      <c r="AC14" s="187"/>
      <c r="AD14" s="103">
        <v>1</v>
      </c>
      <c r="AE14" s="104" t="str">
        <f t="shared" ref="AE14:AE21" si="10">INDEX($Y$14:$AB$21,MATCH(AD14,$AB$14:$AB$21,0),1)</f>
        <v>LAING</v>
      </c>
      <c r="AF14" s="104">
        <f t="shared" ref="AF14:AF21" si="11">INDEX($Y$14:$AB$21,MATCH(AD14,$AB$14:$AB$21,0),2)</f>
        <v>54</v>
      </c>
      <c r="AG14" s="105">
        <f t="shared" ref="AG14:AG21" si="12">INDEX($Y$14:$AB$21,MATCH(AD14,$AB$14:$AB$21,0),3)</f>
        <v>24</v>
      </c>
    </row>
    <row r="15" spans="1:33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Y15" s="188" t="str">
        <f t="shared" si="8"/>
        <v>DEY</v>
      </c>
      <c r="Z15" s="189">
        <f t="shared" si="8"/>
        <v>24</v>
      </c>
      <c r="AA15" s="189">
        <f t="shared" si="9"/>
        <v>16.5</v>
      </c>
      <c r="AB15" s="189">
        <f>RANK(Z15,$Z$14:$Z$21,0)+COUNTIF($Z$14:Z15,Z15)-1</f>
        <v>3</v>
      </c>
      <c r="AC15" s="190"/>
      <c r="AD15" s="106">
        <v>2</v>
      </c>
      <c r="AE15" s="12" t="str">
        <f t="shared" si="10"/>
        <v>FINDLAY</v>
      </c>
      <c r="AF15" s="12">
        <f t="shared" si="11"/>
        <v>28</v>
      </c>
      <c r="AG15" s="107">
        <f t="shared" si="12"/>
        <v>21</v>
      </c>
    </row>
    <row r="16" spans="1:33" x14ac:dyDescent="0.2">
      <c r="A16" s="172"/>
      <c r="B16" s="178"/>
      <c r="C16" s="179">
        <v>1</v>
      </c>
      <c r="D16" s="179">
        <v>2</v>
      </c>
      <c r="E16" s="179">
        <v>3</v>
      </c>
      <c r="F16" s="179">
        <v>4</v>
      </c>
      <c r="G16" s="179">
        <v>5</v>
      </c>
      <c r="H16" s="179">
        <v>6</v>
      </c>
      <c r="I16" s="179">
        <v>7</v>
      </c>
      <c r="J16" s="179">
        <v>8</v>
      </c>
      <c r="K16" s="179">
        <v>9</v>
      </c>
      <c r="L16" s="179">
        <v>10</v>
      </c>
      <c r="M16" s="179">
        <v>11</v>
      </c>
      <c r="N16" s="179">
        <v>12</v>
      </c>
      <c r="O16" s="179">
        <v>13</v>
      </c>
      <c r="P16" s="179">
        <v>14</v>
      </c>
      <c r="Q16" s="179">
        <v>15</v>
      </c>
      <c r="R16" s="179">
        <v>16</v>
      </c>
      <c r="S16" s="179">
        <v>17</v>
      </c>
      <c r="T16" s="179">
        <v>18</v>
      </c>
      <c r="U16" s="180" t="s">
        <v>2</v>
      </c>
      <c r="V16" s="184" t="s">
        <v>17</v>
      </c>
      <c r="Y16" s="188" t="str">
        <f t="shared" si="8"/>
        <v>DONOVAN</v>
      </c>
      <c r="Z16" s="189">
        <f t="shared" si="8"/>
        <v>22</v>
      </c>
      <c r="AA16" s="189">
        <f t="shared" si="9"/>
        <v>12</v>
      </c>
      <c r="AB16" s="189">
        <f>RANK(Z16,$Z$14:$Z$21,0)+COUNTIF($Z$14:Z16,Z16)-1</f>
        <v>5</v>
      </c>
      <c r="AC16" s="190"/>
      <c r="AD16" s="106">
        <v>3</v>
      </c>
      <c r="AE16" s="12" t="str">
        <f t="shared" si="10"/>
        <v>DEY</v>
      </c>
      <c r="AF16" s="12">
        <f t="shared" si="11"/>
        <v>24</v>
      </c>
      <c r="AG16" s="107">
        <f t="shared" si="12"/>
        <v>16.5</v>
      </c>
    </row>
    <row r="17" spans="1:33" x14ac:dyDescent="0.2">
      <c r="A17" s="173"/>
      <c r="B17" s="175"/>
      <c r="C17" s="181">
        <v>3</v>
      </c>
      <c r="D17" s="181">
        <v>4</v>
      </c>
      <c r="E17" s="181">
        <v>5</v>
      </c>
      <c r="F17" s="181">
        <v>3</v>
      </c>
      <c r="G17" s="181">
        <v>4</v>
      </c>
      <c r="H17" s="181">
        <v>5</v>
      </c>
      <c r="I17" s="181">
        <v>4</v>
      </c>
      <c r="J17" s="181">
        <v>4</v>
      </c>
      <c r="K17" s="181">
        <v>4</v>
      </c>
      <c r="L17" s="181">
        <v>3</v>
      </c>
      <c r="M17" s="181">
        <v>4</v>
      </c>
      <c r="N17" s="181">
        <v>5</v>
      </c>
      <c r="O17" s="181">
        <v>3</v>
      </c>
      <c r="P17" s="181">
        <v>4</v>
      </c>
      <c r="Q17" s="181">
        <v>5</v>
      </c>
      <c r="R17" s="181">
        <v>4</v>
      </c>
      <c r="S17" s="181">
        <v>4</v>
      </c>
      <c r="T17" s="181">
        <v>4</v>
      </c>
      <c r="U17" s="175"/>
      <c r="Y17" s="188" t="str">
        <f t="shared" si="8"/>
        <v>FINDLAY</v>
      </c>
      <c r="Z17" s="189">
        <f t="shared" si="8"/>
        <v>28</v>
      </c>
      <c r="AA17" s="189">
        <f t="shared" si="9"/>
        <v>21</v>
      </c>
      <c r="AB17" s="189">
        <f>RANK(Z17,$Z$14:$Z$21,0)+COUNTIF($Z$14:Z17,Z17)-1</f>
        <v>2</v>
      </c>
      <c r="AC17" s="190"/>
      <c r="AD17" s="106">
        <v>4</v>
      </c>
      <c r="AE17" s="12" t="str">
        <f t="shared" si="10"/>
        <v>HOLLANDS</v>
      </c>
      <c r="AF17" s="12">
        <f t="shared" si="11"/>
        <v>24</v>
      </c>
      <c r="AG17" s="107">
        <f t="shared" si="12"/>
        <v>16.5</v>
      </c>
    </row>
    <row r="18" spans="1:33" x14ac:dyDescent="0.2">
      <c r="A18" s="173"/>
      <c r="B18" s="175"/>
      <c r="C18" s="182">
        <v>5</v>
      </c>
      <c r="D18" s="182">
        <v>3</v>
      </c>
      <c r="E18" s="182">
        <v>1</v>
      </c>
      <c r="F18" s="182">
        <v>11</v>
      </c>
      <c r="G18" s="182">
        <v>9</v>
      </c>
      <c r="H18" s="182">
        <v>17</v>
      </c>
      <c r="I18" s="182">
        <v>13</v>
      </c>
      <c r="J18" s="182">
        <v>15</v>
      </c>
      <c r="K18" s="182">
        <v>7</v>
      </c>
      <c r="L18" s="182">
        <v>18</v>
      </c>
      <c r="M18" s="182">
        <v>16</v>
      </c>
      <c r="N18" s="182">
        <v>6</v>
      </c>
      <c r="O18" s="182">
        <v>8</v>
      </c>
      <c r="P18" s="182">
        <v>10</v>
      </c>
      <c r="Q18" s="182">
        <v>12</v>
      </c>
      <c r="R18" s="182">
        <v>14</v>
      </c>
      <c r="S18" s="182">
        <v>4</v>
      </c>
      <c r="T18" s="182">
        <v>2</v>
      </c>
      <c r="U18" s="183"/>
      <c r="Y18" s="188" t="str">
        <f t="shared" si="8"/>
        <v>HOLLANDS</v>
      </c>
      <c r="Z18" s="189">
        <f t="shared" si="8"/>
        <v>24</v>
      </c>
      <c r="AA18" s="189">
        <f t="shared" si="9"/>
        <v>16.5</v>
      </c>
      <c r="AB18" s="189">
        <f>RANK(Z18,$Z$14:$Z$21,0)+COUNTIF($Z$14:Z18,Z18)-1</f>
        <v>4</v>
      </c>
      <c r="AC18" s="190"/>
      <c r="AD18" s="106">
        <v>5</v>
      </c>
      <c r="AE18" s="12" t="str">
        <f t="shared" si="10"/>
        <v>DONOVAN</v>
      </c>
      <c r="AF18" s="12">
        <f t="shared" si="11"/>
        <v>22</v>
      </c>
      <c r="AG18" s="107">
        <f t="shared" si="12"/>
        <v>12</v>
      </c>
    </row>
    <row r="19" spans="1:33" x14ac:dyDescent="0.2">
      <c r="A19" s="173" t="s">
        <v>3</v>
      </c>
      <c r="B19" s="176">
        <f>B7</f>
        <v>18</v>
      </c>
      <c r="C19" s="1" t="str">
        <f t="shared" ref="C19:T19" si="13">IF($B$19&gt;=C18,"●","")&amp;(IF($B$19-18&gt;=C18,"●",""))</f>
        <v>●</v>
      </c>
      <c r="D19" s="1" t="str">
        <f t="shared" si="13"/>
        <v>●</v>
      </c>
      <c r="E19" s="1" t="str">
        <f t="shared" si="13"/>
        <v>●</v>
      </c>
      <c r="F19" s="1" t="str">
        <f t="shared" si="13"/>
        <v>●</v>
      </c>
      <c r="G19" s="1" t="str">
        <f t="shared" si="13"/>
        <v>●</v>
      </c>
      <c r="H19" s="1" t="str">
        <f t="shared" si="13"/>
        <v>●</v>
      </c>
      <c r="I19" s="1" t="str">
        <f t="shared" si="13"/>
        <v>●</v>
      </c>
      <c r="J19" s="1" t="str">
        <f t="shared" si="13"/>
        <v>●</v>
      </c>
      <c r="K19" s="1" t="str">
        <f t="shared" si="13"/>
        <v>●</v>
      </c>
      <c r="L19" s="1" t="str">
        <f t="shared" si="13"/>
        <v>●</v>
      </c>
      <c r="M19" s="1" t="str">
        <f t="shared" si="13"/>
        <v>●</v>
      </c>
      <c r="N19" s="1" t="str">
        <f t="shared" si="13"/>
        <v>●</v>
      </c>
      <c r="O19" s="1" t="str">
        <f t="shared" si="13"/>
        <v>●</v>
      </c>
      <c r="P19" s="1" t="str">
        <f t="shared" si="13"/>
        <v>●</v>
      </c>
      <c r="Q19" s="1" t="str">
        <f t="shared" si="13"/>
        <v>●</v>
      </c>
      <c r="R19" s="1" t="str">
        <f t="shared" si="13"/>
        <v>●</v>
      </c>
      <c r="S19" s="1" t="str">
        <f t="shared" si="13"/>
        <v>●</v>
      </c>
      <c r="T19" s="1" t="str">
        <f t="shared" si="13"/>
        <v>●</v>
      </c>
      <c r="U19" s="9"/>
      <c r="Y19" s="188" t="str">
        <f t="shared" si="8"/>
        <v>LAING</v>
      </c>
      <c r="Z19" s="189">
        <f t="shared" si="8"/>
        <v>54</v>
      </c>
      <c r="AA19" s="189">
        <f t="shared" si="9"/>
        <v>24</v>
      </c>
      <c r="AB19" s="189">
        <f>RANK(Z19,$Z$14:$Z$21,0)+COUNTIF($Z$14:Z19,Z19)-1</f>
        <v>1</v>
      </c>
      <c r="AC19" s="190"/>
      <c r="AD19" s="106">
        <v>6</v>
      </c>
      <c r="AE19" s="12" t="str">
        <f t="shared" si="10"/>
        <v>REILLY</v>
      </c>
      <c r="AF19" s="12">
        <f t="shared" si="11"/>
        <v>8</v>
      </c>
      <c r="AG19" s="107">
        <f t="shared" si="12"/>
        <v>9</v>
      </c>
    </row>
    <row r="20" spans="1:33" x14ac:dyDescent="0.2">
      <c r="A20" s="173" t="s">
        <v>4</v>
      </c>
      <c r="B20" s="176">
        <f t="shared" ref="B20:B26" si="14">B8</f>
        <v>18</v>
      </c>
      <c r="C20" s="1" t="str">
        <f t="shared" ref="C20:T20" si="15">IF($B$20&gt;=C18,"●","")&amp;(IF($B$20-18&gt;=C18,"●",""))</f>
        <v>●</v>
      </c>
      <c r="D20" s="1" t="str">
        <f t="shared" si="15"/>
        <v>●</v>
      </c>
      <c r="E20" s="1" t="str">
        <f t="shared" si="15"/>
        <v>●</v>
      </c>
      <c r="F20" s="1" t="str">
        <f t="shared" si="15"/>
        <v>●</v>
      </c>
      <c r="G20" s="1" t="str">
        <f t="shared" si="15"/>
        <v>●</v>
      </c>
      <c r="H20" s="1" t="str">
        <f t="shared" si="15"/>
        <v>●</v>
      </c>
      <c r="I20" s="1" t="str">
        <f t="shared" si="15"/>
        <v>●</v>
      </c>
      <c r="J20" s="1" t="str">
        <f t="shared" si="15"/>
        <v>●</v>
      </c>
      <c r="K20" s="1" t="str">
        <f t="shared" si="15"/>
        <v>●</v>
      </c>
      <c r="L20" s="1" t="str">
        <f t="shared" si="15"/>
        <v>●</v>
      </c>
      <c r="M20" s="1" t="str">
        <f t="shared" si="15"/>
        <v>●</v>
      </c>
      <c r="N20" s="1" t="str">
        <f t="shared" si="15"/>
        <v>●</v>
      </c>
      <c r="O20" s="1" t="str">
        <f t="shared" si="15"/>
        <v>●</v>
      </c>
      <c r="P20" s="1" t="str">
        <f t="shared" si="15"/>
        <v>●</v>
      </c>
      <c r="Q20" s="1" t="str">
        <f t="shared" si="15"/>
        <v>●</v>
      </c>
      <c r="R20" s="1" t="str">
        <f t="shared" si="15"/>
        <v>●</v>
      </c>
      <c r="S20" s="1" t="str">
        <f t="shared" si="15"/>
        <v>●</v>
      </c>
      <c r="T20" s="1" t="str">
        <f t="shared" si="15"/>
        <v>●</v>
      </c>
      <c r="U20" s="9"/>
      <c r="Y20" s="188" t="str">
        <f t="shared" si="8"/>
        <v>REILLY</v>
      </c>
      <c r="Z20" s="189">
        <f t="shared" si="8"/>
        <v>8</v>
      </c>
      <c r="AA20" s="189">
        <f t="shared" si="9"/>
        <v>9</v>
      </c>
      <c r="AB20" s="189">
        <f>RANK(Z20,$Z$14:$Z$21,0)+COUNTIF($Z$14:Z20,Z20)-1</f>
        <v>6</v>
      </c>
      <c r="AC20" s="190"/>
      <c r="AD20" s="106">
        <v>7</v>
      </c>
      <c r="AE20" s="12" t="str">
        <f t="shared" si="10"/>
        <v>STONES</v>
      </c>
      <c r="AF20" s="12">
        <f t="shared" si="11"/>
        <v>6</v>
      </c>
      <c r="AG20" s="107">
        <f t="shared" si="12"/>
        <v>6</v>
      </c>
    </row>
    <row r="21" spans="1:33" x14ac:dyDescent="0.2">
      <c r="A21" s="173" t="s">
        <v>5</v>
      </c>
      <c r="B21" s="176">
        <f t="shared" si="14"/>
        <v>18</v>
      </c>
      <c r="C21" s="1" t="str">
        <f t="shared" ref="C21:T21" si="16">IF($B$21&gt;=C18,"●","")&amp;(IF($B$21-18&gt;=C18,"●",""))</f>
        <v>●</v>
      </c>
      <c r="D21" s="1" t="str">
        <f t="shared" si="16"/>
        <v>●</v>
      </c>
      <c r="E21" s="1" t="str">
        <f t="shared" si="16"/>
        <v>●</v>
      </c>
      <c r="F21" s="1" t="str">
        <f t="shared" si="16"/>
        <v>●</v>
      </c>
      <c r="G21" s="1" t="str">
        <f t="shared" si="16"/>
        <v>●</v>
      </c>
      <c r="H21" s="1" t="str">
        <f t="shared" si="16"/>
        <v>●</v>
      </c>
      <c r="I21" s="1" t="str">
        <f t="shared" si="16"/>
        <v>●</v>
      </c>
      <c r="J21" s="1" t="str">
        <f t="shared" si="16"/>
        <v>●</v>
      </c>
      <c r="K21" s="1" t="str">
        <f t="shared" si="16"/>
        <v>●</v>
      </c>
      <c r="L21" s="1" t="str">
        <f t="shared" si="16"/>
        <v>●</v>
      </c>
      <c r="M21" s="1" t="str">
        <f t="shared" si="16"/>
        <v>●</v>
      </c>
      <c r="N21" s="1" t="str">
        <f t="shared" si="16"/>
        <v>●</v>
      </c>
      <c r="O21" s="1" t="str">
        <f t="shared" si="16"/>
        <v>●</v>
      </c>
      <c r="P21" s="1" t="str">
        <f t="shared" si="16"/>
        <v>●</v>
      </c>
      <c r="Q21" s="1" t="str">
        <f t="shared" si="16"/>
        <v>●</v>
      </c>
      <c r="R21" s="1" t="str">
        <f t="shared" si="16"/>
        <v>●</v>
      </c>
      <c r="S21" s="1" t="str">
        <f t="shared" si="16"/>
        <v>●</v>
      </c>
      <c r="T21" s="1" t="str">
        <f t="shared" si="16"/>
        <v>●</v>
      </c>
      <c r="U21" s="9"/>
      <c r="Y21" s="191" t="str">
        <f t="shared" si="8"/>
        <v>STONES</v>
      </c>
      <c r="Z21" s="192">
        <f t="shared" si="8"/>
        <v>6</v>
      </c>
      <c r="AA21" s="192">
        <f t="shared" si="9"/>
        <v>6</v>
      </c>
      <c r="AB21" s="192">
        <f>RANK(Z21,$Z$14:$Z$21,0)+COUNTIF($Z$14:Z21,Z21)-1</f>
        <v>7</v>
      </c>
      <c r="AC21" s="193"/>
      <c r="AD21" s="108">
        <v>8</v>
      </c>
      <c r="AE21" s="109" t="str">
        <f t="shared" si="10"/>
        <v>BELLIS</v>
      </c>
      <c r="AF21" s="109">
        <f t="shared" si="11"/>
        <v>4</v>
      </c>
      <c r="AG21" s="110">
        <f t="shared" si="12"/>
        <v>3</v>
      </c>
    </row>
    <row r="22" spans="1:33" x14ac:dyDescent="0.2">
      <c r="A22" s="173" t="s">
        <v>6</v>
      </c>
      <c r="B22" s="176">
        <f t="shared" si="14"/>
        <v>18</v>
      </c>
      <c r="C22" s="1" t="str">
        <f t="shared" ref="C22:T22" si="17">IF($B$22&gt;=C18,"●","")&amp;(IF($B$22-18&gt;=C18,"●",""))</f>
        <v>●</v>
      </c>
      <c r="D22" s="1" t="str">
        <f t="shared" si="17"/>
        <v>●</v>
      </c>
      <c r="E22" s="1" t="str">
        <f t="shared" si="17"/>
        <v>●</v>
      </c>
      <c r="F22" s="1" t="str">
        <f t="shared" si="17"/>
        <v>●</v>
      </c>
      <c r="G22" s="1" t="str">
        <f t="shared" si="17"/>
        <v>●</v>
      </c>
      <c r="H22" s="1" t="str">
        <f t="shared" si="17"/>
        <v>●</v>
      </c>
      <c r="I22" s="1" t="str">
        <f t="shared" si="17"/>
        <v>●</v>
      </c>
      <c r="J22" s="1" t="str">
        <f t="shared" si="17"/>
        <v>●</v>
      </c>
      <c r="K22" s="1" t="str">
        <f t="shared" si="17"/>
        <v>●</v>
      </c>
      <c r="L22" s="1" t="str">
        <f t="shared" si="17"/>
        <v>●</v>
      </c>
      <c r="M22" s="1" t="str">
        <f t="shared" si="17"/>
        <v>●</v>
      </c>
      <c r="N22" s="1" t="str">
        <f t="shared" si="17"/>
        <v>●</v>
      </c>
      <c r="O22" s="1" t="str">
        <f t="shared" si="17"/>
        <v>●</v>
      </c>
      <c r="P22" s="1" t="str">
        <f t="shared" si="17"/>
        <v>●</v>
      </c>
      <c r="Q22" s="1" t="str">
        <f t="shared" si="17"/>
        <v>●</v>
      </c>
      <c r="R22" s="1" t="str">
        <f t="shared" si="17"/>
        <v>●</v>
      </c>
      <c r="S22" s="1" t="str">
        <f t="shared" si="17"/>
        <v>●</v>
      </c>
      <c r="T22" s="1" t="str">
        <f t="shared" si="17"/>
        <v>●</v>
      </c>
      <c r="U22" s="9"/>
      <c r="Y22" s="85"/>
      <c r="Z22" s="86"/>
      <c r="AA22" s="86"/>
      <c r="AB22" s="86"/>
      <c r="AC22" s="86"/>
      <c r="AD22" s="86"/>
      <c r="AE22" s="86"/>
      <c r="AF22" s="86"/>
      <c r="AG22" s="87"/>
    </row>
    <row r="23" spans="1:33" x14ac:dyDescent="0.2">
      <c r="A23" s="173" t="s">
        <v>7</v>
      </c>
      <c r="B23" s="176">
        <f t="shared" si="14"/>
        <v>18</v>
      </c>
      <c r="C23" s="1" t="str">
        <f t="shared" ref="C23:T23" si="18">IF($B$23&gt;=C18,"●","")&amp;(IF($B$23-18&gt;=C18,"●",""))</f>
        <v>●</v>
      </c>
      <c r="D23" s="1" t="str">
        <f t="shared" si="18"/>
        <v>●</v>
      </c>
      <c r="E23" s="1" t="str">
        <f t="shared" si="18"/>
        <v>●</v>
      </c>
      <c r="F23" s="1" t="str">
        <f t="shared" si="18"/>
        <v>●</v>
      </c>
      <c r="G23" s="1" t="str">
        <f t="shared" si="18"/>
        <v>●</v>
      </c>
      <c r="H23" s="1" t="str">
        <f t="shared" si="18"/>
        <v>●</v>
      </c>
      <c r="I23" s="1" t="str">
        <f t="shared" si="18"/>
        <v>●</v>
      </c>
      <c r="J23" s="1" t="str">
        <f t="shared" si="18"/>
        <v>●</v>
      </c>
      <c r="K23" s="1" t="str">
        <f t="shared" si="18"/>
        <v>●</v>
      </c>
      <c r="L23" s="1" t="str">
        <f t="shared" si="18"/>
        <v>●</v>
      </c>
      <c r="M23" s="1" t="str">
        <f t="shared" si="18"/>
        <v>●</v>
      </c>
      <c r="N23" s="1" t="str">
        <f t="shared" si="18"/>
        <v>●</v>
      </c>
      <c r="O23" s="1" t="str">
        <f t="shared" si="18"/>
        <v>●</v>
      </c>
      <c r="P23" s="1" t="str">
        <f t="shared" si="18"/>
        <v>●</v>
      </c>
      <c r="Q23" s="1" t="str">
        <f t="shared" si="18"/>
        <v>●</v>
      </c>
      <c r="R23" s="1" t="str">
        <f t="shared" si="18"/>
        <v>●</v>
      </c>
      <c r="S23" s="1" t="str">
        <f t="shared" si="18"/>
        <v>●</v>
      </c>
      <c r="T23" s="1" t="str">
        <f t="shared" si="18"/>
        <v>●</v>
      </c>
      <c r="U23" s="9"/>
    </row>
    <row r="24" spans="1:33" x14ac:dyDescent="0.2">
      <c r="A24" s="173" t="s">
        <v>8</v>
      </c>
      <c r="B24" s="176">
        <f t="shared" si="14"/>
        <v>18</v>
      </c>
      <c r="C24" s="1" t="str">
        <f t="shared" ref="C24:T24" si="19">IF($B$24&gt;=C18,"●","")&amp;(IF($B$24-18&gt;=C18,"●",""))</f>
        <v>●</v>
      </c>
      <c r="D24" s="1" t="str">
        <f t="shared" si="19"/>
        <v>●</v>
      </c>
      <c r="E24" s="1" t="str">
        <f t="shared" si="19"/>
        <v>●</v>
      </c>
      <c r="F24" s="1" t="str">
        <f t="shared" si="19"/>
        <v>●</v>
      </c>
      <c r="G24" s="1" t="str">
        <f t="shared" si="19"/>
        <v>●</v>
      </c>
      <c r="H24" s="1" t="str">
        <f t="shared" si="19"/>
        <v>●</v>
      </c>
      <c r="I24" s="1" t="str">
        <f t="shared" si="19"/>
        <v>●</v>
      </c>
      <c r="J24" s="1" t="str">
        <f t="shared" si="19"/>
        <v>●</v>
      </c>
      <c r="K24" s="1" t="str">
        <f t="shared" si="19"/>
        <v>●</v>
      </c>
      <c r="L24" s="1" t="str">
        <f t="shared" si="19"/>
        <v>●</v>
      </c>
      <c r="M24" s="1" t="str">
        <f t="shared" si="19"/>
        <v>●</v>
      </c>
      <c r="N24" s="1" t="str">
        <f t="shared" si="19"/>
        <v>●</v>
      </c>
      <c r="O24" s="1" t="str">
        <f t="shared" si="19"/>
        <v>●</v>
      </c>
      <c r="P24" s="1" t="str">
        <f t="shared" si="19"/>
        <v>●</v>
      </c>
      <c r="Q24" s="1" t="str">
        <f t="shared" si="19"/>
        <v>●</v>
      </c>
      <c r="R24" s="1" t="str">
        <f t="shared" si="19"/>
        <v>●</v>
      </c>
      <c r="S24" s="1" t="str">
        <f t="shared" si="19"/>
        <v>●</v>
      </c>
      <c r="T24" s="1" t="str">
        <f t="shared" si="19"/>
        <v>●</v>
      </c>
      <c r="U24" s="9"/>
    </row>
    <row r="25" spans="1:33" x14ac:dyDescent="0.2">
      <c r="A25" s="173" t="s">
        <v>9</v>
      </c>
      <c r="B25" s="176">
        <f t="shared" si="14"/>
        <v>18</v>
      </c>
      <c r="C25" s="1" t="str">
        <f t="shared" ref="C25:T25" si="20">IF($B$25&gt;=C18,"●","")&amp;(IF($B$25-18&gt;=C18,"●",""))</f>
        <v>●</v>
      </c>
      <c r="D25" s="1" t="str">
        <f t="shared" si="20"/>
        <v>●</v>
      </c>
      <c r="E25" s="1" t="str">
        <f t="shared" si="20"/>
        <v>●</v>
      </c>
      <c r="F25" s="1" t="str">
        <f t="shared" si="20"/>
        <v>●</v>
      </c>
      <c r="G25" s="1" t="str">
        <f t="shared" si="20"/>
        <v>●</v>
      </c>
      <c r="H25" s="1" t="str">
        <f t="shared" si="20"/>
        <v>●</v>
      </c>
      <c r="I25" s="1" t="str">
        <f t="shared" si="20"/>
        <v>●</v>
      </c>
      <c r="J25" s="1" t="str">
        <f t="shared" si="20"/>
        <v>●</v>
      </c>
      <c r="K25" s="1" t="str">
        <f t="shared" si="20"/>
        <v>●</v>
      </c>
      <c r="L25" s="1" t="str">
        <f t="shared" si="20"/>
        <v>●</v>
      </c>
      <c r="M25" s="1" t="str">
        <f t="shared" si="20"/>
        <v>●</v>
      </c>
      <c r="N25" s="1" t="str">
        <f t="shared" si="20"/>
        <v>●</v>
      </c>
      <c r="O25" s="1" t="str">
        <f t="shared" si="20"/>
        <v>●</v>
      </c>
      <c r="P25" s="1" t="str">
        <f t="shared" si="20"/>
        <v>●</v>
      </c>
      <c r="Q25" s="1" t="str">
        <f t="shared" si="20"/>
        <v>●</v>
      </c>
      <c r="R25" s="1" t="str">
        <f t="shared" si="20"/>
        <v>●</v>
      </c>
      <c r="S25" s="1" t="str">
        <f t="shared" si="20"/>
        <v>●</v>
      </c>
      <c r="T25" s="1" t="str">
        <f t="shared" si="20"/>
        <v>●</v>
      </c>
      <c r="U25" s="9"/>
    </row>
    <row r="26" spans="1:33" x14ac:dyDescent="0.2">
      <c r="A26" s="174" t="s">
        <v>10</v>
      </c>
      <c r="B26" s="177">
        <f t="shared" si="14"/>
        <v>18</v>
      </c>
      <c r="C26" s="6" t="str">
        <f t="shared" ref="C26:T26" si="21">IF($B$26&gt;=C18,"●","")&amp;(IF($B$26-18&gt;=C18,"●",""))</f>
        <v>●</v>
      </c>
      <c r="D26" s="6" t="str">
        <f t="shared" si="21"/>
        <v>●</v>
      </c>
      <c r="E26" s="6" t="str">
        <f t="shared" si="21"/>
        <v>●</v>
      </c>
      <c r="F26" s="6" t="str">
        <f t="shared" si="21"/>
        <v>●</v>
      </c>
      <c r="G26" s="6" t="str">
        <f t="shared" si="21"/>
        <v>●</v>
      </c>
      <c r="H26" s="6" t="str">
        <f t="shared" si="21"/>
        <v>●</v>
      </c>
      <c r="I26" s="6" t="str">
        <f t="shared" si="21"/>
        <v>●</v>
      </c>
      <c r="J26" s="6" t="str">
        <f t="shared" si="21"/>
        <v>●</v>
      </c>
      <c r="K26" s="6" t="str">
        <f t="shared" si="21"/>
        <v>●</v>
      </c>
      <c r="L26" s="6" t="str">
        <f t="shared" si="21"/>
        <v>●</v>
      </c>
      <c r="M26" s="6" t="str">
        <f t="shared" si="21"/>
        <v>●</v>
      </c>
      <c r="N26" s="6" t="str">
        <f t="shared" si="21"/>
        <v>●</v>
      </c>
      <c r="O26" s="6" t="str">
        <f t="shared" si="21"/>
        <v>●</v>
      </c>
      <c r="P26" s="6" t="str">
        <f t="shared" si="21"/>
        <v>●</v>
      </c>
      <c r="Q26" s="6" t="str">
        <f t="shared" si="21"/>
        <v>●</v>
      </c>
      <c r="R26" s="6" t="str">
        <f t="shared" si="21"/>
        <v>●</v>
      </c>
      <c r="S26" s="6" t="str">
        <f t="shared" si="21"/>
        <v>●</v>
      </c>
      <c r="T26" s="6" t="str">
        <f t="shared" si="21"/>
        <v>●</v>
      </c>
      <c r="U26" s="10"/>
    </row>
    <row r="28" spans="1:33" x14ac:dyDescent="0.2">
      <c r="A28" s="172"/>
      <c r="B28" s="178"/>
      <c r="C28" s="179">
        <v>1</v>
      </c>
      <c r="D28" s="179">
        <v>2</v>
      </c>
      <c r="E28" s="179">
        <v>3</v>
      </c>
      <c r="F28" s="179">
        <v>4</v>
      </c>
      <c r="G28" s="179">
        <v>5</v>
      </c>
      <c r="H28" s="179">
        <v>6</v>
      </c>
      <c r="I28" s="179">
        <v>7</v>
      </c>
      <c r="J28" s="179">
        <v>8</v>
      </c>
      <c r="K28" s="179">
        <v>9</v>
      </c>
      <c r="L28" s="179">
        <v>10</v>
      </c>
      <c r="M28" s="179">
        <v>11</v>
      </c>
      <c r="N28" s="179">
        <v>12</v>
      </c>
      <c r="O28" s="179">
        <v>13</v>
      </c>
      <c r="P28" s="179">
        <v>14</v>
      </c>
      <c r="Q28" s="179">
        <v>15</v>
      </c>
      <c r="R28" s="179">
        <v>16</v>
      </c>
      <c r="S28" s="179">
        <v>17</v>
      </c>
      <c r="T28" s="179">
        <v>18</v>
      </c>
      <c r="U28" s="180" t="s">
        <v>2</v>
      </c>
      <c r="V28" s="184" t="s">
        <v>18</v>
      </c>
    </row>
    <row r="29" spans="1:33" x14ac:dyDescent="0.2">
      <c r="A29" s="173"/>
      <c r="B29" s="175"/>
      <c r="C29" s="181">
        <v>3</v>
      </c>
      <c r="D29" s="181">
        <v>4</v>
      </c>
      <c r="E29" s="181">
        <v>5</v>
      </c>
      <c r="F29" s="181">
        <v>3</v>
      </c>
      <c r="G29" s="181">
        <v>4</v>
      </c>
      <c r="H29" s="181">
        <v>5</v>
      </c>
      <c r="I29" s="181">
        <v>4</v>
      </c>
      <c r="J29" s="181">
        <v>4</v>
      </c>
      <c r="K29" s="181">
        <v>4</v>
      </c>
      <c r="L29" s="181">
        <v>3</v>
      </c>
      <c r="M29" s="181">
        <v>4</v>
      </c>
      <c r="N29" s="181">
        <v>5</v>
      </c>
      <c r="O29" s="181">
        <v>3</v>
      </c>
      <c r="P29" s="181">
        <v>4</v>
      </c>
      <c r="Q29" s="181">
        <v>5</v>
      </c>
      <c r="R29" s="181">
        <v>4</v>
      </c>
      <c r="S29" s="181">
        <v>4</v>
      </c>
      <c r="T29" s="181">
        <v>4</v>
      </c>
      <c r="U29" s="175"/>
    </row>
    <row r="30" spans="1:33" x14ac:dyDescent="0.2">
      <c r="A30" s="173"/>
      <c r="B30" s="175"/>
      <c r="C30" s="182">
        <v>5</v>
      </c>
      <c r="D30" s="182">
        <v>3</v>
      </c>
      <c r="E30" s="182">
        <v>1</v>
      </c>
      <c r="F30" s="182">
        <v>11</v>
      </c>
      <c r="G30" s="182">
        <v>9</v>
      </c>
      <c r="H30" s="182">
        <v>17</v>
      </c>
      <c r="I30" s="182">
        <v>13</v>
      </c>
      <c r="J30" s="182">
        <v>15</v>
      </c>
      <c r="K30" s="182">
        <v>7</v>
      </c>
      <c r="L30" s="182">
        <v>18</v>
      </c>
      <c r="M30" s="182">
        <v>16</v>
      </c>
      <c r="N30" s="182">
        <v>6</v>
      </c>
      <c r="O30" s="182">
        <v>8</v>
      </c>
      <c r="P30" s="182">
        <v>10</v>
      </c>
      <c r="Q30" s="182">
        <v>12</v>
      </c>
      <c r="R30" s="182">
        <v>14</v>
      </c>
      <c r="S30" s="182">
        <v>4</v>
      </c>
      <c r="T30" s="182">
        <v>2</v>
      </c>
      <c r="U30" s="183"/>
    </row>
    <row r="31" spans="1:33" x14ac:dyDescent="0.2">
      <c r="A31" s="173" t="s">
        <v>3</v>
      </c>
      <c r="B31" s="176">
        <v>8</v>
      </c>
      <c r="C31" s="1">
        <f t="shared" ref="C31:T38" si="22">C7+IF(C19="●",-1)+IF(C19="●●",-2)</f>
        <v>7</v>
      </c>
      <c r="D31" s="1">
        <f t="shared" si="22"/>
        <v>1</v>
      </c>
      <c r="E31" s="1">
        <f t="shared" si="22"/>
        <v>7</v>
      </c>
      <c r="F31" s="1">
        <f t="shared" si="22"/>
        <v>7</v>
      </c>
      <c r="G31" s="1">
        <f t="shared" si="22"/>
        <v>7</v>
      </c>
      <c r="H31" s="1">
        <f t="shared" si="22"/>
        <v>7</v>
      </c>
      <c r="I31" s="1">
        <f t="shared" si="22"/>
        <v>7</v>
      </c>
      <c r="J31" s="1">
        <f t="shared" si="22"/>
        <v>7</v>
      </c>
      <c r="K31" s="1">
        <f t="shared" si="22"/>
        <v>1</v>
      </c>
      <c r="L31" s="1">
        <f t="shared" si="22"/>
        <v>7</v>
      </c>
      <c r="M31" s="1">
        <f t="shared" si="22"/>
        <v>7</v>
      </c>
      <c r="N31" s="1">
        <f t="shared" si="22"/>
        <v>7</v>
      </c>
      <c r="O31" s="1">
        <f t="shared" si="22"/>
        <v>7</v>
      </c>
      <c r="P31" s="1">
        <f t="shared" si="22"/>
        <v>7</v>
      </c>
      <c r="Q31" s="1">
        <f t="shared" si="22"/>
        <v>7</v>
      </c>
      <c r="R31" s="1">
        <f t="shared" si="22"/>
        <v>7</v>
      </c>
      <c r="S31" s="1">
        <f t="shared" si="22"/>
        <v>7</v>
      </c>
      <c r="T31" s="1">
        <f t="shared" si="22"/>
        <v>8</v>
      </c>
      <c r="U31" s="9">
        <f>SUM(C31:T31)</f>
        <v>115</v>
      </c>
    </row>
    <row r="32" spans="1:33" x14ac:dyDescent="0.2">
      <c r="A32" s="173" t="s">
        <v>4</v>
      </c>
      <c r="B32" s="176">
        <v>17</v>
      </c>
      <c r="C32" s="1">
        <f t="shared" si="22"/>
        <v>0</v>
      </c>
      <c r="D32" s="1">
        <f t="shared" si="22"/>
        <v>0</v>
      </c>
      <c r="E32" s="1">
        <f t="shared" si="22"/>
        <v>0</v>
      </c>
      <c r="F32" s="1">
        <f t="shared" si="22"/>
        <v>0</v>
      </c>
      <c r="G32" s="1">
        <f t="shared" si="22"/>
        <v>0</v>
      </c>
      <c r="H32" s="1">
        <f t="shared" si="22"/>
        <v>0</v>
      </c>
      <c r="I32" s="1">
        <f t="shared" si="22"/>
        <v>0</v>
      </c>
      <c r="J32" s="1">
        <f t="shared" si="22"/>
        <v>0</v>
      </c>
      <c r="K32" s="1">
        <f t="shared" si="22"/>
        <v>8</v>
      </c>
      <c r="L32" s="1">
        <f t="shared" si="22"/>
        <v>8</v>
      </c>
      <c r="M32" s="1">
        <f t="shared" si="22"/>
        <v>8</v>
      </c>
      <c r="N32" s="1">
        <f t="shared" si="22"/>
        <v>8</v>
      </c>
      <c r="O32" s="1">
        <f t="shared" si="22"/>
        <v>8</v>
      </c>
      <c r="P32" s="1">
        <f t="shared" si="22"/>
        <v>8</v>
      </c>
      <c r="Q32" s="1">
        <f t="shared" si="22"/>
        <v>8</v>
      </c>
      <c r="R32" s="1">
        <f t="shared" si="22"/>
        <v>8</v>
      </c>
      <c r="S32" s="1">
        <f t="shared" si="22"/>
        <v>8</v>
      </c>
      <c r="T32" s="1">
        <f t="shared" si="22"/>
        <v>8</v>
      </c>
      <c r="U32" s="9">
        <f t="shared" ref="U32:U38" si="23">SUM(C32:T32)</f>
        <v>80</v>
      </c>
    </row>
    <row r="33" spans="1:22" x14ac:dyDescent="0.2">
      <c r="A33" s="173" t="s">
        <v>5</v>
      </c>
      <c r="B33" s="176">
        <v>12</v>
      </c>
      <c r="C33" s="1">
        <f t="shared" si="22"/>
        <v>3</v>
      </c>
      <c r="D33" s="1">
        <f t="shared" si="22"/>
        <v>8</v>
      </c>
      <c r="E33" s="1">
        <f t="shared" si="22"/>
        <v>2</v>
      </c>
      <c r="F33" s="1">
        <f t="shared" si="22"/>
        <v>1</v>
      </c>
      <c r="G33" s="1">
        <f t="shared" si="22"/>
        <v>3</v>
      </c>
      <c r="H33" s="1">
        <f t="shared" si="22"/>
        <v>3</v>
      </c>
      <c r="I33" s="1">
        <f t="shared" si="22"/>
        <v>3</v>
      </c>
      <c r="J33" s="1">
        <f t="shared" si="22"/>
        <v>3</v>
      </c>
      <c r="K33" s="1">
        <f t="shared" si="22"/>
        <v>3</v>
      </c>
      <c r="L33" s="1">
        <f t="shared" si="22"/>
        <v>3</v>
      </c>
      <c r="M33" s="1">
        <f t="shared" si="22"/>
        <v>3</v>
      </c>
      <c r="N33" s="1">
        <f t="shared" si="22"/>
        <v>3</v>
      </c>
      <c r="O33" s="1">
        <f t="shared" si="22"/>
        <v>3</v>
      </c>
      <c r="P33" s="1">
        <f t="shared" si="22"/>
        <v>3</v>
      </c>
      <c r="Q33" s="1">
        <f t="shared" si="22"/>
        <v>3</v>
      </c>
      <c r="R33" s="1">
        <f t="shared" si="22"/>
        <v>3</v>
      </c>
      <c r="S33" s="1">
        <f t="shared" si="22"/>
        <v>3</v>
      </c>
      <c r="T33" s="1">
        <f t="shared" si="22"/>
        <v>7</v>
      </c>
      <c r="U33" s="9">
        <f t="shared" si="23"/>
        <v>60</v>
      </c>
    </row>
    <row r="34" spans="1:22" x14ac:dyDescent="0.2">
      <c r="A34" s="173" t="s">
        <v>6</v>
      </c>
      <c r="B34" s="176">
        <v>13</v>
      </c>
      <c r="C34" s="1">
        <f t="shared" si="22"/>
        <v>4</v>
      </c>
      <c r="D34" s="1">
        <f t="shared" si="22"/>
        <v>7</v>
      </c>
      <c r="E34" s="1">
        <f t="shared" si="22"/>
        <v>4</v>
      </c>
      <c r="F34" s="1">
        <f t="shared" si="22"/>
        <v>4</v>
      </c>
      <c r="G34" s="1">
        <f t="shared" si="22"/>
        <v>4</v>
      </c>
      <c r="H34" s="1">
        <f t="shared" si="22"/>
        <v>4</v>
      </c>
      <c r="I34" s="1">
        <f t="shared" si="22"/>
        <v>0</v>
      </c>
      <c r="J34" s="1">
        <f t="shared" si="22"/>
        <v>0</v>
      </c>
      <c r="K34" s="1">
        <f t="shared" si="22"/>
        <v>0</v>
      </c>
      <c r="L34" s="1">
        <f t="shared" si="22"/>
        <v>0</v>
      </c>
      <c r="M34" s="1">
        <f t="shared" si="22"/>
        <v>0</v>
      </c>
      <c r="N34" s="1">
        <f t="shared" si="22"/>
        <v>0</v>
      </c>
      <c r="O34" s="1">
        <f t="shared" si="22"/>
        <v>0</v>
      </c>
      <c r="P34" s="1">
        <f t="shared" si="22"/>
        <v>0</v>
      </c>
      <c r="Q34" s="1">
        <f t="shared" si="22"/>
        <v>4</v>
      </c>
      <c r="R34" s="1">
        <f t="shared" si="22"/>
        <v>4</v>
      </c>
      <c r="S34" s="1">
        <f t="shared" si="22"/>
        <v>4</v>
      </c>
      <c r="T34" s="1">
        <f t="shared" si="22"/>
        <v>6</v>
      </c>
      <c r="U34" s="9">
        <f t="shared" si="23"/>
        <v>45</v>
      </c>
    </row>
    <row r="35" spans="1:22" x14ac:dyDescent="0.2">
      <c r="A35" s="173" t="s">
        <v>7</v>
      </c>
      <c r="B35" s="176">
        <v>9</v>
      </c>
      <c r="C35" s="1">
        <f t="shared" si="22"/>
        <v>1</v>
      </c>
      <c r="D35" s="1">
        <f t="shared" si="22"/>
        <v>2</v>
      </c>
      <c r="E35" s="1">
        <f t="shared" si="22"/>
        <v>5</v>
      </c>
      <c r="F35" s="1">
        <f t="shared" si="22"/>
        <v>2</v>
      </c>
      <c r="G35" s="1">
        <f t="shared" si="22"/>
        <v>1</v>
      </c>
      <c r="H35" s="1">
        <f t="shared" si="22"/>
        <v>1</v>
      </c>
      <c r="I35" s="1">
        <f t="shared" si="22"/>
        <v>1</v>
      </c>
      <c r="J35" s="1">
        <f t="shared" si="22"/>
        <v>0</v>
      </c>
      <c r="K35" s="1">
        <f t="shared" si="22"/>
        <v>3</v>
      </c>
      <c r="L35" s="1">
        <f t="shared" si="22"/>
        <v>1</v>
      </c>
      <c r="M35" s="1">
        <f t="shared" si="22"/>
        <v>1</v>
      </c>
      <c r="N35" s="1">
        <f t="shared" si="22"/>
        <v>1</v>
      </c>
      <c r="O35" s="1">
        <f t="shared" si="22"/>
        <v>1</v>
      </c>
      <c r="P35" s="1">
        <f t="shared" si="22"/>
        <v>1</v>
      </c>
      <c r="Q35" s="1">
        <f t="shared" si="22"/>
        <v>5</v>
      </c>
      <c r="R35" s="1">
        <f t="shared" si="22"/>
        <v>5</v>
      </c>
      <c r="S35" s="1">
        <f t="shared" si="22"/>
        <v>5</v>
      </c>
      <c r="T35" s="1">
        <f t="shared" si="22"/>
        <v>6</v>
      </c>
      <c r="U35" s="9">
        <f t="shared" si="23"/>
        <v>42</v>
      </c>
    </row>
    <row r="36" spans="1:22" x14ac:dyDescent="0.2">
      <c r="A36" s="173" t="s">
        <v>8</v>
      </c>
      <c r="B36" s="176">
        <v>3</v>
      </c>
      <c r="C36" s="1">
        <f t="shared" si="22"/>
        <v>0</v>
      </c>
      <c r="D36" s="1">
        <f t="shared" si="22"/>
        <v>0</v>
      </c>
      <c r="E36" s="1">
        <f t="shared" si="22"/>
        <v>0</v>
      </c>
      <c r="F36" s="1">
        <f t="shared" si="22"/>
        <v>0</v>
      </c>
      <c r="G36" s="1">
        <f t="shared" si="22"/>
        <v>0</v>
      </c>
      <c r="H36" s="1">
        <f t="shared" si="22"/>
        <v>0</v>
      </c>
      <c r="I36" s="1">
        <f t="shared" si="22"/>
        <v>0</v>
      </c>
      <c r="J36" s="1">
        <f t="shared" si="22"/>
        <v>0</v>
      </c>
      <c r="K36" s="1">
        <f t="shared" si="22"/>
        <v>0</v>
      </c>
      <c r="L36" s="1">
        <f t="shared" si="22"/>
        <v>0</v>
      </c>
      <c r="M36" s="1">
        <f t="shared" si="22"/>
        <v>0</v>
      </c>
      <c r="N36" s="1">
        <f t="shared" si="22"/>
        <v>0</v>
      </c>
      <c r="O36" s="1">
        <f t="shared" si="22"/>
        <v>0</v>
      </c>
      <c r="P36" s="1">
        <f t="shared" si="22"/>
        <v>0</v>
      </c>
      <c r="Q36" s="1">
        <f t="shared" si="22"/>
        <v>0</v>
      </c>
      <c r="R36" s="1">
        <f t="shared" si="22"/>
        <v>0</v>
      </c>
      <c r="S36" s="1">
        <f t="shared" si="22"/>
        <v>0</v>
      </c>
      <c r="T36" s="1">
        <f t="shared" si="22"/>
        <v>0</v>
      </c>
      <c r="U36" s="9">
        <f t="shared" si="23"/>
        <v>0</v>
      </c>
    </row>
    <row r="37" spans="1:22" x14ac:dyDescent="0.2">
      <c r="A37" s="173" t="s">
        <v>9</v>
      </c>
      <c r="B37" s="176">
        <v>3</v>
      </c>
      <c r="C37" s="1">
        <f t="shared" si="22"/>
        <v>6</v>
      </c>
      <c r="D37" s="1">
        <f t="shared" si="22"/>
        <v>4</v>
      </c>
      <c r="E37" s="1">
        <f t="shared" si="22"/>
        <v>6</v>
      </c>
      <c r="F37" s="1">
        <f t="shared" si="22"/>
        <v>6</v>
      </c>
      <c r="G37" s="1">
        <f t="shared" si="22"/>
        <v>6</v>
      </c>
      <c r="H37" s="1">
        <f t="shared" si="22"/>
        <v>0</v>
      </c>
      <c r="I37" s="1">
        <f t="shared" si="22"/>
        <v>0</v>
      </c>
      <c r="J37" s="1">
        <f t="shared" si="22"/>
        <v>6</v>
      </c>
      <c r="K37" s="1">
        <f t="shared" si="22"/>
        <v>6</v>
      </c>
      <c r="L37" s="1">
        <f t="shared" si="22"/>
        <v>6</v>
      </c>
      <c r="M37" s="1">
        <f t="shared" si="22"/>
        <v>6</v>
      </c>
      <c r="N37" s="1">
        <f t="shared" si="22"/>
        <v>6</v>
      </c>
      <c r="O37" s="1">
        <f t="shared" si="22"/>
        <v>6</v>
      </c>
      <c r="P37" s="1">
        <f t="shared" si="22"/>
        <v>6</v>
      </c>
      <c r="Q37" s="1">
        <f t="shared" si="22"/>
        <v>6</v>
      </c>
      <c r="R37" s="1">
        <f t="shared" si="22"/>
        <v>5</v>
      </c>
      <c r="S37" s="1">
        <f t="shared" si="22"/>
        <v>6</v>
      </c>
      <c r="T37" s="1">
        <f t="shared" si="22"/>
        <v>4</v>
      </c>
      <c r="U37" s="9">
        <f t="shared" si="23"/>
        <v>91</v>
      </c>
    </row>
    <row r="38" spans="1:22" x14ac:dyDescent="0.2">
      <c r="A38" s="174" t="s">
        <v>10</v>
      </c>
      <c r="B38" s="177">
        <v>15</v>
      </c>
      <c r="C38" s="6">
        <f t="shared" si="22"/>
        <v>6</v>
      </c>
      <c r="D38" s="6">
        <f t="shared" si="22"/>
        <v>3</v>
      </c>
      <c r="E38" s="6">
        <f t="shared" si="22"/>
        <v>6</v>
      </c>
      <c r="F38" s="6">
        <f t="shared" si="22"/>
        <v>6</v>
      </c>
      <c r="G38" s="6">
        <f t="shared" si="22"/>
        <v>6</v>
      </c>
      <c r="H38" s="6">
        <f t="shared" si="22"/>
        <v>6</v>
      </c>
      <c r="I38" s="6">
        <f t="shared" si="22"/>
        <v>6</v>
      </c>
      <c r="J38" s="6">
        <f t="shared" si="22"/>
        <v>6</v>
      </c>
      <c r="K38" s="6">
        <f t="shared" si="22"/>
        <v>0</v>
      </c>
      <c r="L38" s="6">
        <f t="shared" si="22"/>
        <v>6</v>
      </c>
      <c r="M38" s="6">
        <f t="shared" si="22"/>
        <v>6</v>
      </c>
      <c r="N38" s="6">
        <f t="shared" si="22"/>
        <v>6</v>
      </c>
      <c r="O38" s="6">
        <f t="shared" si="22"/>
        <v>6</v>
      </c>
      <c r="P38" s="6">
        <f t="shared" si="22"/>
        <v>6</v>
      </c>
      <c r="Q38" s="6">
        <f t="shared" si="22"/>
        <v>6</v>
      </c>
      <c r="R38" s="6">
        <f t="shared" si="22"/>
        <v>6</v>
      </c>
      <c r="S38" s="6">
        <f t="shared" si="22"/>
        <v>6</v>
      </c>
      <c r="T38" s="6">
        <f t="shared" si="22"/>
        <v>3</v>
      </c>
      <c r="U38" s="10">
        <f t="shared" si="23"/>
        <v>96</v>
      </c>
    </row>
    <row r="41" spans="1:22" x14ac:dyDescent="0.2">
      <c r="A41" s="172"/>
      <c r="B41" s="178"/>
      <c r="C41" s="179">
        <v>1</v>
      </c>
      <c r="D41" s="179">
        <v>2</v>
      </c>
      <c r="E41" s="179">
        <v>3</v>
      </c>
      <c r="F41" s="179">
        <v>4</v>
      </c>
      <c r="G41" s="179">
        <v>5</v>
      </c>
      <c r="H41" s="179">
        <v>6</v>
      </c>
      <c r="I41" s="179">
        <v>7</v>
      </c>
      <c r="J41" s="179">
        <v>8</v>
      </c>
      <c r="K41" s="179">
        <v>9</v>
      </c>
      <c r="L41" s="179">
        <v>10</v>
      </c>
      <c r="M41" s="179">
        <v>11</v>
      </c>
      <c r="N41" s="179">
        <v>12</v>
      </c>
      <c r="O41" s="179">
        <v>13</v>
      </c>
      <c r="P41" s="179">
        <v>14</v>
      </c>
      <c r="Q41" s="179">
        <v>15</v>
      </c>
      <c r="R41" s="179">
        <v>16</v>
      </c>
      <c r="S41" s="179">
        <v>17</v>
      </c>
      <c r="T41" s="179">
        <v>18</v>
      </c>
      <c r="U41" s="180" t="s">
        <v>2</v>
      </c>
      <c r="V41" s="184" t="s">
        <v>33</v>
      </c>
    </row>
    <row r="42" spans="1:22" x14ac:dyDescent="0.2">
      <c r="A42" s="173"/>
      <c r="B42" s="175"/>
      <c r="C42" s="181">
        <v>3</v>
      </c>
      <c r="D42" s="181">
        <v>4</v>
      </c>
      <c r="E42" s="181">
        <v>5</v>
      </c>
      <c r="F42" s="181">
        <v>3</v>
      </c>
      <c r="G42" s="181">
        <v>4</v>
      </c>
      <c r="H42" s="181">
        <v>5</v>
      </c>
      <c r="I42" s="181">
        <v>4</v>
      </c>
      <c r="J42" s="181">
        <v>4</v>
      </c>
      <c r="K42" s="181">
        <v>4</v>
      </c>
      <c r="L42" s="181">
        <v>3</v>
      </c>
      <c r="M42" s="181">
        <v>4</v>
      </c>
      <c r="N42" s="181">
        <v>5</v>
      </c>
      <c r="O42" s="181">
        <v>3</v>
      </c>
      <c r="P42" s="181">
        <v>4</v>
      </c>
      <c r="Q42" s="181">
        <v>5</v>
      </c>
      <c r="R42" s="181">
        <v>4</v>
      </c>
      <c r="S42" s="181">
        <v>4</v>
      </c>
      <c r="T42" s="181">
        <v>4</v>
      </c>
      <c r="U42" s="175"/>
    </row>
    <row r="43" spans="1:22" x14ac:dyDescent="0.2">
      <c r="A43" s="173"/>
      <c r="B43" s="175"/>
      <c r="C43" s="182">
        <v>5</v>
      </c>
      <c r="D43" s="182">
        <v>3</v>
      </c>
      <c r="E43" s="182">
        <v>1</v>
      </c>
      <c r="F43" s="182">
        <v>11</v>
      </c>
      <c r="G43" s="182">
        <v>9</v>
      </c>
      <c r="H43" s="182">
        <v>17</v>
      </c>
      <c r="I43" s="182">
        <v>13</v>
      </c>
      <c r="J43" s="182">
        <v>15</v>
      </c>
      <c r="K43" s="182">
        <v>7</v>
      </c>
      <c r="L43" s="182">
        <v>18</v>
      </c>
      <c r="M43" s="182">
        <v>16</v>
      </c>
      <c r="N43" s="182">
        <v>6</v>
      </c>
      <c r="O43" s="182">
        <v>8</v>
      </c>
      <c r="P43" s="182">
        <v>10</v>
      </c>
      <c r="Q43" s="182">
        <v>12</v>
      </c>
      <c r="R43" s="182">
        <v>14</v>
      </c>
      <c r="S43" s="182">
        <v>4</v>
      </c>
      <c r="T43" s="182">
        <v>2</v>
      </c>
      <c r="U43" s="183"/>
    </row>
    <row r="44" spans="1:22" x14ac:dyDescent="0.2">
      <c r="A44" s="173"/>
      <c r="B44" s="176" t="s">
        <v>34</v>
      </c>
      <c r="C44" s="2">
        <f t="array" ref="C44">IFERROR(SMALL(IF(FREQUENCY(C$31:C$38, C$31:C$38)&gt;0, C$31:C$38), ROW(A1)),"")</f>
        <v>0</v>
      </c>
      <c r="D44" s="3">
        <f t="array" ref="D44">IFERROR(SMALL(IF(FREQUENCY(D$31:D$38, D$31:D$38)&gt;0, D$31:D$38), ROW(B1)),"")</f>
        <v>0</v>
      </c>
      <c r="E44" s="3">
        <f t="array" ref="E44">IFERROR(SMALL(IF(FREQUENCY(E$31:E$38, E$31:E$38)&gt;0, E$31:E$38), ROW(C1)),"")</f>
        <v>0</v>
      </c>
      <c r="F44" s="3">
        <f t="array" ref="F44">IFERROR(SMALL(IF(FREQUENCY(F$31:F$38, F$31:F$38)&gt;0, F$31:F$38), ROW(D1)),"")</f>
        <v>0</v>
      </c>
      <c r="G44" s="3">
        <f t="array" ref="G44">IFERROR(SMALL(IF(FREQUENCY(G$31:G$38, G$31:G$38)&gt;0, G$31:G$38), ROW(E1)),"")</f>
        <v>0</v>
      </c>
      <c r="H44" s="3">
        <f t="array" ref="H44">IFERROR(SMALL(IF(FREQUENCY(H$31:H$38, H$31:H$38)&gt;0, H$31:H$38), ROW(F1)),"")</f>
        <v>0</v>
      </c>
      <c r="I44" s="3">
        <f t="array" ref="I44">IFERROR(SMALL(IF(FREQUENCY(I$31:I$38, I$31:I$38)&gt;0, I$31:I$38), ROW(G1)),"")</f>
        <v>0</v>
      </c>
      <c r="J44" s="3">
        <f t="array" ref="J44">IFERROR(SMALL(IF(FREQUENCY(J$31:J$38, J$31:J$38)&gt;0, J$31:J$38), ROW(H1)),"")</f>
        <v>0</v>
      </c>
      <c r="K44" s="3">
        <f t="array" ref="K44">IFERROR(SMALL(IF(FREQUENCY(K$31:K$38, K$31:K$38)&gt;0, K$31:K$38), ROW(I1)),"")</f>
        <v>0</v>
      </c>
      <c r="L44" s="3">
        <f t="array" ref="L44">IFERROR(SMALL(IF(FREQUENCY(L$31:L$38, L$31:L$38)&gt;0, L$31:L$38), ROW(J1)),"")</f>
        <v>0</v>
      </c>
      <c r="M44" s="3">
        <f t="array" ref="M44">IFERROR(SMALL(IF(FREQUENCY(M$31:M$38, M$31:M$38)&gt;0, M$31:M$38), ROW(K1)),"")</f>
        <v>0</v>
      </c>
      <c r="N44" s="3">
        <f t="array" ref="N44">IFERROR(SMALL(IF(FREQUENCY(N$31:N$38, N$31:N$38)&gt;0, N$31:N$38), ROW(L1)),"")</f>
        <v>0</v>
      </c>
      <c r="O44" s="3">
        <f t="array" ref="O44">IFERROR(SMALL(IF(FREQUENCY(O$31:O$38, O$31:O$38)&gt;0, O$31:O$38), ROW(M1)),"")</f>
        <v>0</v>
      </c>
      <c r="P44" s="3">
        <f t="array" ref="P44">IFERROR(SMALL(IF(FREQUENCY(P$31:P$38, P$31:P$38)&gt;0, P$31:P$38), ROW(N1)),"")</f>
        <v>0</v>
      </c>
      <c r="Q44" s="3">
        <f t="array" ref="Q44">IFERROR(SMALL(IF(FREQUENCY(Q$31:Q$38, Q$31:Q$38)&gt;0, Q$31:Q$38), ROW(O1)),"")</f>
        <v>0</v>
      </c>
      <c r="R44" s="3">
        <f t="array" ref="R44">IFERROR(SMALL(IF(FREQUENCY(R$31:R$38, R$31:R$38)&gt;0, R$31:R$38), ROW(P1)),"")</f>
        <v>0</v>
      </c>
      <c r="S44" s="3">
        <f t="array" ref="S44">IFERROR(SMALL(IF(FREQUENCY(S$31:S$38, S$31:S$38)&gt;0, S$31:S$38), ROW(Q1)),"")</f>
        <v>0</v>
      </c>
      <c r="T44" s="3">
        <f t="array" ref="T44">IFERROR(SMALL(IF(FREQUENCY(T$31:T$38, T$31:T$38)&gt;0, T$31:T$38), ROW(R1)),"")</f>
        <v>0</v>
      </c>
      <c r="U44" s="4"/>
    </row>
    <row r="45" spans="1:22" x14ac:dyDescent="0.2">
      <c r="A45" s="173"/>
      <c r="B45" s="176" t="s">
        <v>35</v>
      </c>
      <c r="C45" s="11">
        <f t="array" ref="C45">IFERROR(SMALL(IF(FREQUENCY(C$31:C$38, C$31:C$38)&gt;0, C$31:C$38), ROW(A2)),"")</f>
        <v>1</v>
      </c>
      <c r="D45" s="1">
        <f t="array" ref="D45">IFERROR(SMALL(IF(FREQUENCY(D$31:D$38, D$31:D$38)&gt;0, D$31:D$38), ROW(B2)),"")</f>
        <v>1</v>
      </c>
      <c r="E45" s="1">
        <f t="array" ref="E45">IFERROR(SMALL(IF(FREQUENCY(E$31:E$38, E$31:E$38)&gt;0, E$31:E$38), ROW(C2)),"")</f>
        <v>2</v>
      </c>
      <c r="F45" s="1">
        <f t="array" ref="F45">IFERROR(SMALL(IF(FREQUENCY(F$31:F$38, F$31:F$38)&gt;0, F$31:F$38), ROW(D2)),"")</f>
        <v>1</v>
      </c>
      <c r="G45" s="1">
        <f t="array" ref="G45">IFERROR(SMALL(IF(FREQUENCY(G$31:G$38, G$31:G$38)&gt;0, G$31:G$38), ROW(E2)),"")</f>
        <v>1</v>
      </c>
      <c r="H45" s="1">
        <f t="array" ref="H45">IFERROR(SMALL(IF(FREQUENCY(H$31:H$38, H$31:H$38)&gt;0, H$31:H$38), ROW(F2)),"")</f>
        <v>1</v>
      </c>
      <c r="I45" s="1">
        <f t="array" ref="I45">IFERROR(SMALL(IF(FREQUENCY(I$31:I$38, I$31:I$38)&gt;0, I$31:I$38), ROW(G2)),"")</f>
        <v>1</v>
      </c>
      <c r="J45" s="1">
        <f t="array" ref="J45">IFERROR(SMALL(IF(FREQUENCY(J$31:J$38, J$31:J$38)&gt;0, J$31:J$38), ROW(H2)),"")</f>
        <v>3</v>
      </c>
      <c r="K45" s="1">
        <f t="array" ref="K45">IFERROR(SMALL(IF(FREQUENCY(K$31:K$38, K$31:K$38)&gt;0, K$31:K$38), ROW(I2)),"")</f>
        <v>1</v>
      </c>
      <c r="L45" s="1">
        <f t="array" ref="L45">IFERROR(SMALL(IF(FREQUENCY(L$31:L$38, L$31:L$38)&gt;0, L$31:L$38), ROW(J2)),"")</f>
        <v>1</v>
      </c>
      <c r="M45" s="1">
        <f t="array" ref="M45">IFERROR(SMALL(IF(FREQUENCY(M$31:M$38, M$31:M$38)&gt;0, M$31:M$38), ROW(K2)),"")</f>
        <v>1</v>
      </c>
      <c r="N45" s="1">
        <f t="array" ref="N45">IFERROR(SMALL(IF(FREQUENCY(N$31:N$38, N$31:N$38)&gt;0, N$31:N$38), ROW(L2)),"")</f>
        <v>1</v>
      </c>
      <c r="O45" s="1">
        <f t="array" ref="O45">IFERROR(SMALL(IF(FREQUENCY(O$31:O$38, O$31:O$38)&gt;0, O$31:O$38), ROW(M2)),"")</f>
        <v>1</v>
      </c>
      <c r="P45" s="1">
        <f t="array" ref="P45">IFERROR(SMALL(IF(FREQUENCY(P$31:P$38, P$31:P$38)&gt;0, P$31:P$38), ROW(N2)),"")</f>
        <v>1</v>
      </c>
      <c r="Q45" s="1">
        <f t="array" ref="Q45">IFERROR(SMALL(IF(FREQUENCY(Q$31:Q$38, Q$31:Q$38)&gt;0, Q$31:Q$38), ROW(O2)),"")</f>
        <v>3</v>
      </c>
      <c r="R45" s="1">
        <f t="array" ref="R45">IFERROR(SMALL(IF(FREQUENCY(R$31:R$38, R$31:R$38)&gt;0, R$31:R$38), ROW(P2)),"")</f>
        <v>3</v>
      </c>
      <c r="S45" s="1">
        <f t="array" ref="S45">IFERROR(SMALL(IF(FREQUENCY(S$31:S$38, S$31:S$38)&gt;0, S$31:S$38), ROW(Q2)),"")</f>
        <v>3</v>
      </c>
      <c r="T45" s="1">
        <f t="array" ref="T45">IFERROR(SMALL(IF(FREQUENCY(T$31:T$38, T$31:T$38)&gt;0, T$31:T$38), ROW(R2)),"")</f>
        <v>3</v>
      </c>
      <c r="U45" s="9"/>
    </row>
    <row r="46" spans="1:22" x14ac:dyDescent="0.2">
      <c r="A46" s="173"/>
      <c r="B46" s="176" t="s">
        <v>36</v>
      </c>
      <c r="C46" s="11">
        <f t="array" ref="C46">IFERROR(SMALL(IF(FREQUENCY(C$31:C$38, C$31:C$38)&gt;0, C$31:C$38), ROW(A3)),"")</f>
        <v>3</v>
      </c>
      <c r="D46" s="1">
        <f t="array" ref="D46">IFERROR(SMALL(IF(FREQUENCY(D$31:D$38, D$31:D$38)&gt;0, D$31:D$38), ROW(B3)),"")</f>
        <v>2</v>
      </c>
      <c r="E46" s="1">
        <f t="array" ref="E46">IFERROR(SMALL(IF(FREQUENCY(E$31:E$38, E$31:E$38)&gt;0, E$31:E$38), ROW(C3)),"")</f>
        <v>4</v>
      </c>
      <c r="F46" s="1">
        <f t="array" ref="F46">IFERROR(SMALL(IF(FREQUENCY(F$31:F$38, F$31:F$38)&gt;0, F$31:F$38), ROW(D3)),"")</f>
        <v>2</v>
      </c>
      <c r="G46" s="1">
        <f t="array" ref="G46">IFERROR(SMALL(IF(FREQUENCY(G$31:G$38, G$31:G$38)&gt;0, G$31:G$38), ROW(E3)),"")</f>
        <v>3</v>
      </c>
      <c r="H46" s="1">
        <f t="array" ref="H46">IFERROR(SMALL(IF(FREQUENCY(H$31:H$38, H$31:H$38)&gt;0, H$31:H$38), ROW(F3)),"")</f>
        <v>3</v>
      </c>
      <c r="I46" s="1">
        <f t="array" ref="I46">IFERROR(SMALL(IF(FREQUENCY(I$31:I$38, I$31:I$38)&gt;0, I$31:I$38), ROW(G3)),"")</f>
        <v>3</v>
      </c>
      <c r="J46" s="1">
        <f t="array" ref="J46">IFERROR(SMALL(IF(FREQUENCY(J$31:J$38, J$31:J$38)&gt;0, J$31:J$38), ROW(H3)),"")</f>
        <v>6</v>
      </c>
      <c r="K46" s="1">
        <f t="array" ref="K46">IFERROR(SMALL(IF(FREQUENCY(K$31:K$38, K$31:K$38)&gt;0, K$31:K$38), ROW(I3)),"")</f>
        <v>3</v>
      </c>
      <c r="L46" s="1">
        <f t="array" ref="L46">IFERROR(SMALL(IF(FREQUENCY(L$31:L$38, L$31:L$38)&gt;0, L$31:L$38), ROW(J3)),"")</f>
        <v>3</v>
      </c>
      <c r="M46" s="1">
        <f t="array" ref="M46">IFERROR(SMALL(IF(FREQUENCY(M$31:M$38, M$31:M$38)&gt;0, M$31:M$38), ROW(K3)),"")</f>
        <v>3</v>
      </c>
      <c r="N46" s="1">
        <f t="array" ref="N46">IFERROR(SMALL(IF(FREQUENCY(N$31:N$38, N$31:N$38)&gt;0, N$31:N$38), ROW(L3)),"")</f>
        <v>3</v>
      </c>
      <c r="O46" s="1">
        <f t="array" ref="O46">IFERROR(SMALL(IF(FREQUENCY(O$31:O$38, O$31:O$38)&gt;0, O$31:O$38), ROW(M3)),"")</f>
        <v>3</v>
      </c>
      <c r="P46" s="1">
        <f t="array" ref="P46">IFERROR(SMALL(IF(FREQUENCY(P$31:P$38, P$31:P$38)&gt;0, P$31:P$38), ROW(N3)),"")</f>
        <v>3</v>
      </c>
      <c r="Q46" s="1">
        <f t="array" ref="Q46">IFERROR(SMALL(IF(FREQUENCY(Q$31:Q$38, Q$31:Q$38)&gt;0, Q$31:Q$38), ROW(O3)),"")</f>
        <v>4</v>
      </c>
      <c r="R46" s="1">
        <f t="array" ref="R46">IFERROR(SMALL(IF(FREQUENCY(R$31:R$38, R$31:R$38)&gt;0, R$31:R$38), ROW(P3)),"")</f>
        <v>4</v>
      </c>
      <c r="S46" s="1">
        <f t="array" ref="S46">IFERROR(SMALL(IF(FREQUENCY(S$31:S$38, S$31:S$38)&gt;0, S$31:S$38), ROW(Q3)),"")</f>
        <v>4</v>
      </c>
      <c r="T46" s="1">
        <f t="array" ref="T46">IFERROR(SMALL(IF(FREQUENCY(T$31:T$38, T$31:T$38)&gt;0, T$31:T$38), ROW(R3)),"")</f>
        <v>4</v>
      </c>
      <c r="U46" s="9"/>
    </row>
    <row r="47" spans="1:22" x14ac:dyDescent="0.2">
      <c r="A47" s="173"/>
      <c r="B47" s="176"/>
      <c r="C47" s="11">
        <f t="array" ref="C47">IFERROR(SMALL(IF(FREQUENCY(C$31:C$38, C$31:C$38)&gt;0, C$31:C$38), ROW(A4)),"")</f>
        <v>4</v>
      </c>
      <c r="D47" s="1">
        <f t="array" ref="D47">IFERROR(SMALL(IF(FREQUENCY(D$31:D$38, D$31:D$38)&gt;0, D$31:D$38), ROW(B4)),"")</f>
        <v>3</v>
      </c>
      <c r="E47" s="1">
        <f t="array" ref="E47">IFERROR(SMALL(IF(FREQUENCY(E$31:E$38, E$31:E$38)&gt;0, E$31:E$38), ROW(C4)),"")</f>
        <v>5</v>
      </c>
      <c r="F47" s="1">
        <f t="array" ref="F47">IFERROR(SMALL(IF(FREQUENCY(F$31:F$38, F$31:F$38)&gt;0, F$31:F$38), ROW(D4)),"")</f>
        <v>4</v>
      </c>
      <c r="G47" s="1">
        <f t="array" ref="G47">IFERROR(SMALL(IF(FREQUENCY(G$31:G$38, G$31:G$38)&gt;0, G$31:G$38), ROW(E4)),"")</f>
        <v>4</v>
      </c>
      <c r="H47" s="1">
        <f t="array" ref="H47">IFERROR(SMALL(IF(FREQUENCY(H$31:H$38, H$31:H$38)&gt;0, H$31:H$38), ROW(F4)),"")</f>
        <v>4</v>
      </c>
      <c r="I47" s="1">
        <f t="array" ref="I47">IFERROR(SMALL(IF(FREQUENCY(I$31:I$38, I$31:I$38)&gt;0, I$31:I$38), ROW(G4)),"")</f>
        <v>6</v>
      </c>
      <c r="J47" s="1">
        <f t="array" ref="J47">IFERROR(SMALL(IF(FREQUENCY(J$31:J$38, J$31:J$38)&gt;0, J$31:J$38), ROW(H4)),"")</f>
        <v>7</v>
      </c>
      <c r="K47" s="1">
        <f t="array" ref="K47">IFERROR(SMALL(IF(FREQUENCY(K$31:K$38, K$31:K$38)&gt;0, K$31:K$38), ROW(I4)),"")</f>
        <v>6</v>
      </c>
      <c r="L47" s="1">
        <f t="array" ref="L47">IFERROR(SMALL(IF(FREQUENCY(L$31:L$38, L$31:L$38)&gt;0, L$31:L$38), ROW(J4)),"")</f>
        <v>6</v>
      </c>
      <c r="M47" s="1">
        <f t="array" ref="M47">IFERROR(SMALL(IF(FREQUENCY(M$31:M$38, M$31:M$38)&gt;0, M$31:M$38), ROW(K4)),"")</f>
        <v>6</v>
      </c>
      <c r="N47" s="1">
        <f t="array" ref="N47">IFERROR(SMALL(IF(FREQUENCY(N$31:N$38, N$31:N$38)&gt;0, N$31:N$38), ROW(L4)),"")</f>
        <v>6</v>
      </c>
      <c r="O47" s="1">
        <f t="array" ref="O47">IFERROR(SMALL(IF(FREQUENCY(O$31:O$38, O$31:O$38)&gt;0, O$31:O$38), ROW(M4)),"")</f>
        <v>6</v>
      </c>
      <c r="P47" s="1">
        <f t="array" ref="P47">IFERROR(SMALL(IF(FREQUENCY(P$31:P$38, P$31:P$38)&gt;0, P$31:P$38), ROW(N4)),"")</f>
        <v>6</v>
      </c>
      <c r="Q47" s="1">
        <f t="array" ref="Q47">IFERROR(SMALL(IF(FREQUENCY(Q$31:Q$38, Q$31:Q$38)&gt;0, Q$31:Q$38), ROW(O4)),"")</f>
        <v>5</v>
      </c>
      <c r="R47" s="1">
        <f t="array" ref="R47">IFERROR(SMALL(IF(FREQUENCY(R$31:R$38, R$31:R$38)&gt;0, R$31:R$38), ROW(P4)),"")</f>
        <v>5</v>
      </c>
      <c r="S47" s="1">
        <f t="array" ref="S47">IFERROR(SMALL(IF(FREQUENCY(S$31:S$38, S$31:S$38)&gt;0, S$31:S$38), ROW(Q4)),"")</f>
        <v>5</v>
      </c>
      <c r="T47" s="1">
        <f t="array" ref="T47">IFERROR(SMALL(IF(FREQUENCY(T$31:T$38, T$31:T$38)&gt;0, T$31:T$38), ROW(R4)),"")</f>
        <v>6</v>
      </c>
      <c r="U47" s="9"/>
    </row>
    <row r="48" spans="1:22" x14ac:dyDescent="0.2">
      <c r="A48" s="173"/>
      <c r="B48" s="176"/>
      <c r="C48" s="11">
        <f t="array" ref="C48">IFERROR(SMALL(IF(FREQUENCY(C$31:C$38, C$31:C$38)&gt;0, C$31:C$38), ROW(A5)),"")</f>
        <v>6</v>
      </c>
      <c r="D48" s="1">
        <f t="array" ref="D48">IFERROR(SMALL(IF(FREQUENCY(D$31:D$38, D$31:D$38)&gt;0, D$31:D$38), ROW(B5)),"")</f>
        <v>4</v>
      </c>
      <c r="E48" s="1">
        <f t="array" ref="E48">IFERROR(SMALL(IF(FREQUENCY(E$31:E$38, E$31:E$38)&gt;0, E$31:E$38), ROW(C5)),"")</f>
        <v>6</v>
      </c>
      <c r="F48" s="1">
        <f t="array" ref="F48">IFERROR(SMALL(IF(FREQUENCY(F$31:F$38, F$31:F$38)&gt;0, F$31:F$38), ROW(D5)),"")</f>
        <v>6</v>
      </c>
      <c r="G48" s="1">
        <f t="array" ref="G48">IFERROR(SMALL(IF(FREQUENCY(G$31:G$38, G$31:G$38)&gt;0, G$31:G$38), ROW(E5)),"")</f>
        <v>6</v>
      </c>
      <c r="H48" s="1">
        <f t="array" ref="H48">IFERROR(SMALL(IF(FREQUENCY(H$31:H$38, H$31:H$38)&gt;0, H$31:H$38), ROW(F5)),"")</f>
        <v>6</v>
      </c>
      <c r="I48" s="1">
        <f t="array" ref="I48">IFERROR(SMALL(IF(FREQUENCY(I$31:I$38, I$31:I$38)&gt;0, I$31:I$38), ROW(G5)),"")</f>
        <v>7</v>
      </c>
      <c r="J48" s="1" t="str">
        <f t="array" ref="J48">IFERROR(SMALL(IF(FREQUENCY(J$31:J$38, J$31:J$38)&gt;0, J$31:J$38), ROW(H5)),"")</f>
        <v/>
      </c>
      <c r="K48" s="1">
        <f t="array" ref="K48">IFERROR(SMALL(IF(FREQUENCY(K$31:K$38, K$31:K$38)&gt;0, K$31:K$38), ROW(I5)),"")</f>
        <v>8</v>
      </c>
      <c r="L48" s="1">
        <f t="array" ref="L48">IFERROR(SMALL(IF(FREQUENCY(L$31:L$38, L$31:L$38)&gt;0, L$31:L$38), ROW(J5)),"")</f>
        <v>7</v>
      </c>
      <c r="M48" s="1">
        <f t="array" ref="M48">IFERROR(SMALL(IF(FREQUENCY(M$31:M$38, M$31:M$38)&gt;0, M$31:M$38), ROW(K5)),"")</f>
        <v>7</v>
      </c>
      <c r="N48" s="1">
        <f t="array" ref="N48">IFERROR(SMALL(IF(FREQUENCY(N$31:N$38, N$31:N$38)&gt;0, N$31:N$38), ROW(L5)),"")</f>
        <v>7</v>
      </c>
      <c r="O48" s="1">
        <f t="array" ref="O48">IFERROR(SMALL(IF(FREQUENCY(O$31:O$38, O$31:O$38)&gt;0, O$31:O$38), ROW(M5)),"")</f>
        <v>7</v>
      </c>
      <c r="P48" s="1">
        <f t="array" ref="P48">IFERROR(SMALL(IF(FREQUENCY(P$31:P$38, P$31:P$38)&gt;0, P$31:P$38), ROW(N5)),"")</f>
        <v>7</v>
      </c>
      <c r="Q48" s="1">
        <f t="array" ref="Q48">IFERROR(SMALL(IF(FREQUENCY(Q$31:Q$38, Q$31:Q$38)&gt;0, Q$31:Q$38), ROW(O5)),"")</f>
        <v>6</v>
      </c>
      <c r="R48" s="1">
        <f t="array" ref="R48">IFERROR(SMALL(IF(FREQUENCY(R$31:R$38, R$31:R$38)&gt;0, R$31:R$38), ROW(P5)),"")</f>
        <v>6</v>
      </c>
      <c r="S48" s="1">
        <f t="array" ref="S48">IFERROR(SMALL(IF(FREQUENCY(S$31:S$38, S$31:S$38)&gt;0, S$31:S$38), ROW(Q5)),"")</f>
        <v>6</v>
      </c>
      <c r="T48" s="1">
        <f t="array" ref="T48">IFERROR(SMALL(IF(FREQUENCY(T$31:T$38, T$31:T$38)&gt;0, T$31:T$38), ROW(R5)),"")</f>
        <v>7</v>
      </c>
      <c r="U48" s="9"/>
    </row>
    <row r="49" spans="1:22" x14ac:dyDescent="0.2">
      <c r="A49" s="173"/>
      <c r="B49" s="176"/>
      <c r="C49" s="11">
        <f t="array" ref="C49">IFERROR(SMALL(IF(FREQUENCY(C$31:C$38, C$31:C$38)&gt;0, C$31:C$38), ROW(A6)),"")</f>
        <v>7</v>
      </c>
      <c r="D49" s="1">
        <f t="array" ref="D49">IFERROR(SMALL(IF(FREQUENCY(D$31:D$38, D$31:D$38)&gt;0, D$31:D$38), ROW(B6)),"")</f>
        <v>7</v>
      </c>
      <c r="E49" s="1">
        <f t="array" ref="E49">IFERROR(SMALL(IF(FREQUENCY(E$31:E$38, E$31:E$38)&gt;0, E$31:E$38), ROW(C6)),"")</f>
        <v>7</v>
      </c>
      <c r="F49" s="1">
        <f t="array" ref="F49">IFERROR(SMALL(IF(FREQUENCY(F$31:F$38, F$31:F$38)&gt;0, F$31:F$38), ROW(D6)),"")</f>
        <v>7</v>
      </c>
      <c r="G49" s="1">
        <f t="array" ref="G49">IFERROR(SMALL(IF(FREQUENCY(G$31:G$38, G$31:G$38)&gt;0, G$31:G$38), ROW(E6)),"")</f>
        <v>7</v>
      </c>
      <c r="H49" s="1">
        <f t="array" ref="H49">IFERROR(SMALL(IF(FREQUENCY(H$31:H$38, H$31:H$38)&gt;0, H$31:H$38), ROW(F6)),"")</f>
        <v>7</v>
      </c>
      <c r="I49" s="1" t="str">
        <f t="array" ref="I49">IFERROR(SMALL(IF(FREQUENCY(I$31:I$38, I$31:I$38)&gt;0, I$31:I$38), ROW(G6)),"")</f>
        <v/>
      </c>
      <c r="J49" s="1" t="str">
        <f t="array" ref="J49">IFERROR(SMALL(IF(FREQUENCY(J$31:J$38, J$31:J$38)&gt;0, J$31:J$38), ROW(H6)),"")</f>
        <v/>
      </c>
      <c r="K49" s="1" t="str">
        <f t="array" ref="K49">IFERROR(SMALL(IF(FREQUENCY(K$31:K$38, K$31:K$38)&gt;0, K$31:K$38), ROW(I6)),"")</f>
        <v/>
      </c>
      <c r="L49" s="1">
        <f t="array" ref="L49">IFERROR(SMALL(IF(FREQUENCY(L$31:L$38, L$31:L$38)&gt;0, L$31:L$38), ROW(J6)),"")</f>
        <v>8</v>
      </c>
      <c r="M49" s="1">
        <f t="array" ref="M49">IFERROR(SMALL(IF(FREQUENCY(M$31:M$38, M$31:M$38)&gt;0, M$31:M$38), ROW(K6)),"")</f>
        <v>8</v>
      </c>
      <c r="N49" s="1">
        <f t="array" ref="N49">IFERROR(SMALL(IF(FREQUENCY(N$31:N$38, N$31:N$38)&gt;0, N$31:N$38), ROW(L6)),"")</f>
        <v>8</v>
      </c>
      <c r="O49" s="1">
        <f t="array" ref="O49">IFERROR(SMALL(IF(FREQUENCY(O$31:O$38, O$31:O$38)&gt;0, O$31:O$38), ROW(M6)),"")</f>
        <v>8</v>
      </c>
      <c r="P49" s="1">
        <f t="array" ref="P49">IFERROR(SMALL(IF(FREQUENCY(P$31:P$38, P$31:P$38)&gt;0, P$31:P$38), ROW(N6)),"")</f>
        <v>8</v>
      </c>
      <c r="Q49" s="1">
        <f t="array" ref="Q49">IFERROR(SMALL(IF(FREQUENCY(Q$31:Q$38, Q$31:Q$38)&gt;0, Q$31:Q$38), ROW(O6)),"")</f>
        <v>7</v>
      </c>
      <c r="R49" s="1">
        <f t="array" ref="R49">IFERROR(SMALL(IF(FREQUENCY(R$31:R$38, R$31:R$38)&gt;0, R$31:R$38), ROW(P6)),"")</f>
        <v>7</v>
      </c>
      <c r="S49" s="1">
        <f t="array" ref="S49">IFERROR(SMALL(IF(FREQUENCY(S$31:S$38, S$31:S$38)&gt;0, S$31:S$38), ROW(Q6)),"")</f>
        <v>7</v>
      </c>
      <c r="T49" s="1">
        <f t="array" ref="T49">IFERROR(SMALL(IF(FREQUENCY(T$31:T$38, T$31:T$38)&gt;0, T$31:T$38), ROW(R6)),"")</f>
        <v>8</v>
      </c>
      <c r="U49" s="9"/>
    </row>
    <row r="50" spans="1:22" x14ac:dyDescent="0.2">
      <c r="A50" s="173"/>
      <c r="B50" s="176"/>
      <c r="C50" s="11" t="str">
        <f t="array" ref="C50">IFERROR(SMALL(IF(FREQUENCY(C$31:C$38, C$31:C$38)&gt;0, C$31:C$38), ROW(A7)),"")</f>
        <v/>
      </c>
      <c r="D50" s="1">
        <f t="array" ref="D50">IFERROR(SMALL(IF(FREQUENCY(D$31:D$38, D$31:D$38)&gt;0, D$31:D$38), ROW(B7)),"")</f>
        <v>8</v>
      </c>
      <c r="E50" s="1" t="str">
        <f t="array" ref="E50">IFERROR(SMALL(IF(FREQUENCY(E$31:E$38, E$31:E$38)&gt;0, E$31:E$38), ROW(C7)),"")</f>
        <v/>
      </c>
      <c r="F50" s="1" t="str">
        <f t="array" ref="F50">IFERROR(SMALL(IF(FREQUENCY(F$31:F$38, F$31:F$38)&gt;0, F$31:F$38), ROW(D7)),"")</f>
        <v/>
      </c>
      <c r="G50" s="1" t="str">
        <f t="array" ref="G50">IFERROR(SMALL(IF(FREQUENCY(G$31:G$38, G$31:G$38)&gt;0, G$31:G$38), ROW(E7)),"")</f>
        <v/>
      </c>
      <c r="H50" s="1" t="str">
        <f t="array" ref="H50">IFERROR(SMALL(IF(FREQUENCY(H$31:H$38, H$31:H$38)&gt;0, H$31:H$38), ROW(F7)),"")</f>
        <v/>
      </c>
      <c r="I50" s="1" t="str">
        <f t="array" ref="I50">IFERROR(SMALL(IF(FREQUENCY(I$31:I$38, I$31:I$38)&gt;0, I$31:I$38), ROW(G7)),"")</f>
        <v/>
      </c>
      <c r="J50" s="1" t="str">
        <f t="array" ref="J50">IFERROR(SMALL(IF(FREQUENCY(J$31:J$38, J$31:J$38)&gt;0, J$31:J$38), ROW(H7)),"")</f>
        <v/>
      </c>
      <c r="K50" s="1" t="str">
        <f t="array" ref="K50">IFERROR(SMALL(IF(FREQUENCY(K$31:K$38, K$31:K$38)&gt;0, K$31:K$38), ROW(I7)),"")</f>
        <v/>
      </c>
      <c r="L50" s="1" t="str">
        <f t="array" ref="L50">IFERROR(SMALL(IF(FREQUENCY(L$31:L$38, L$31:L$38)&gt;0, L$31:L$38), ROW(J7)),"")</f>
        <v/>
      </c>
      <c r="M50" s="1" t="str">
        <f t="array" ref="M50">IFERROR(SMALL(IF(FREQUENCY(M$31:M$38, M$31:M$38)&gt;0, M$31:M$38), ROW(K7)),"")</f>
        <v/>
      </c>
      <c r="N50" s="1" t="str">
        <f t="array" ref="N50">IFERROR(SMALL(IF(FREQUENCY(N$31:N$38, N$31:N$38)&gt;0, N$31:N$38), ROW(L7)),"")</f>
        <v/>
      </c>
      <c r="O50" s="1" t="str">
        <f t="array" ref="O50">IFERROR(SMALL(IF(FREQUENCY(O$31:O$38, O$31:O$38)&gt;0, O$31:O$38), ROW(M7)),"")</f>
        <v/>
      </c>
      <c r="P50" s="1" t="str">
        <f t="array" ref="P50">IFERROR(SMALL(IF(FREQUENCY(P$31:P$38, P$31:P$38)&gt;0, P$31:P$38), ROW(N7)),"")</f>
        <v/>
      </c>
      <c r="Q50" s="1">
        <f t="array" ref="Q50">IFERROR(SMALL(IF(FREQUENCY(Q$31:Q$38, Q$31:Q$38)&gt;0, Q$31:Q$38), ROW(O7)),"")</f>
        <v>8</v>
      </c>
      <c r="R50" s="1">
        <f t="array" ref="R50">IFERROR(SMALL(IF(FREQUENCY(R$31:R$38, R$31:R$38)&gt;0, R$31:R$38), ROW(P7)),"")</f>
        <v>8</v>
      </c>
      <c r="S50" s="1">
        <f t="array" ref="S50">IFERROR(SMALL(IF(FREQUENCY(S$31:S$38, S$31:S$38)&gt;0, S$31:S$38), ROW(Q7)),"")</f>
        <v>8</v>
      </c>
      <c r="T50" s="1" t="str">
        <f t="array" ref="T50">IFERROR(SMALL(IF(FREQUENCY(T$31:T$38, T$31:T$38)&gt;0, T$31:T$38), ROW(R7)),"")</f>
        <v/>
      </c>
      <c r="U50" s="9"/>
    </row>
    <row r="51" spans="1:22" x14ac:dyDescent="0.2">
      <c r="A51" s="174"/>
      <c r="B51" s="177"/>
      <c r="C51" s="5" t="str">
        <f t="array" ref="C51">IFERROR(SMALL(IF(FREQUENCY(C$31:C$38, C$31:C$38)&gt;0, C$31:C$38), ROW(A8)),"")</f>
        <v/>
      </c>
      <c r="D51" s="6" t="str">
        <f t="array" ref="D51">IFERROR(SMALL(IF(FREQUENCY(D$31:D$38, D$31:D$38)&gt;0, D$31:D$38), ROW(B8)),"")</f>
        <v/>
      </c>
      <c r="E51" s="6" t="str">
        <f t="array" ref="E51">IFERROR(SMALL(IF(FREQUENCY(E$31:E$38, E$31:E$38)&gt;0, E$31:E$38), ROW(C8)),"")</f>
        <v/>
      </c>
      <c r="F51" s="6" t="str">
        <f t="array" ref="F51">IFERROR(SMALL(IF(FREQUENCY(F$31:F$38, F$31:F$38)&gt;0, F$31:F$38), ROW(D8)),"")</f>
        <v/>
      </c>
      <c r="G51" s="6" t="str">
        <f t="array" ref="G51">IFERROR(SMALL(IF(FREQUENCY(G$31:G$38, G$31:G$38)&gt;0, G$31:G$38), ROW(E8)),"")</f>
        <v/>
      </c>
      <c r="H51" s="6" t="str">
        <f t="array" ref="H51">IFERROR(SMALL(IF(FREQUENCY(H$31:H$38, H$31:H$38)&gt;0, H$31:H$38), ROW(F8)),"")</f>
        <v/>
      </c>
      <c r="I51" s="6" t="str">
        <f t="array" ref="I51">IFERROR(SMALL(IF(FREQUENCY(I$31:I$38, I$31:I$38)&gt;0, I$31:I$38), ROW(G8)),"")</f>
        <v/>
      </c>
      <c r="J51" s="6" t="str">
        <f t="array" ref="J51">IFERROR(SMALL(IF(FREQUENCY(J$31:J$38, J$31:J$38)&gt;0, J$31:J$38), ROW(H8)),"")</f>
        <v/>
      </c>
      <c r="K51" s="6" t="str">
        <f t="array" ref="K51">IFERROR(SMALL(IF(FREQUENCY(K$31:K$38, K$31:K$38)&gt;0, K$31:K$38), ROW(I8)),"")</f>
        <v/>
      </c>
      <c r="L51" s="6" t="str">
        <f t="array" ref="L51">IFERROR(SMALL(IF(FREQUENCY(L$31:L$38, L$31:L$38)&gt;0, L$31:L$38), ROW(J8)),"")</f>
        <v/>
      </c>
      <c r="M51" s="6" t="str">
        <f t="array" ref="M51">IFERROR(SMALL(IF(FREQUENCY(M$31:M$38, M$31:M$38)&gt;0, M$31:M$38), ROW(K8)),"")</f>
        <v/>
      </c>
      <c r="N51" s="6" t="str">
        <f t="array" ref="N51">IFERROR(SMALL(IF(FREQUENCY(N$31:N$38, N$31:N$38)&gt;0, N$31:N$38), ROW(L8)),"")</f>
        <v/>
      </c>
      <c r="O51" s="6" t="str">
        <f t="array" ref="O51">IFERROR(SMALL(IF(FREQUENCY(O$31:O$38, O$31:O$38)&gt;0, O$31:O$38), ROW(M8)),"")</f>
        <v/>
      </c>
      <c r="P51" s="6" t="str">
        <f t="array" ref="P51">IFERROR(SMALL(IF(FREQUENCY(P$31:P$38, P$31:P$38)&gt;0, P$31:P$38), ROW(N8)),"")</f>
        <v/>
      </c>
      <c r="Q51" s="6" t="str">
        <f t="array" ref="Q51">IFERROR(SMALL(IF(FREQUENCY(Q$31:Q$38, Q$31:Q$38)&gt;0, Q$31:Q$38), ROW(O8)),"")</f>
        <v/>
      </c>
      <c r="R51" s="6" t="str">
        <f t="array" ref="R51">IFERROR(SMALL(IF(FREQUENCY(R$31:R$38, R$31:R$38)&gt;0, R$31:R$38), ROW(P8)),"")</f>
        <v/>
      </c>
      <c r="S51" s="6" t="str">
        <f t="array" ref="S51">IFERROR(SMALL(IF(FREQUENCY(S$31:S$38, S$31:S$38)&gt;0, S$31:S$38), ROW(Q8)),"")</f>
        <v/>
      </c>
      <c r="T51" s="6" t="str">
        <f t="array" ref="T51">IFERROR(SMALL(IF(FREQUENCY(T$31:T$38, T$31:T$38)&gt;0, T$31:T$38), ROW(R8)),"")</f>
        <v/>
      </c>
      <c r="U51" s="10"/>
    </row>
    <row r="53" spans="1:22" x14ac:dyDescent="0.2">
      <c r="A53" s="172"/>
      <c r="B53" s="178"/>
      <c r="C53" s="179">
        <v>1</v>
      </c>
      <c r="D53" s="179">
        <v>2</v>
      </c>
      <c r="E53" s="179">
        <v>3</v>
      </c>
      <c r="F53" s="179">
        <v>4</v>
      </c>
      <c r="G53" s="179">
        <v>5</v>
      </c>
      <c r="H53" s="179">
        <v>6</v>
      </c>
      <c r="I53" s="179">
        <v>7</v>
      </c>
      <c r="J53" s="179">
        <v>8</v>
      </c>
      <c r="K53" s="179">
        <v>9</v>
      </c>
      <c r="L53" s="179">
        <v>10</v>
      </c>
      <c r="M53" s="179">
        <v>11</v>
      </c>
      <c r="N53" s="179">
        <v>12</v>
      </c>
      <c r="O53" s="179">
        <v>13</v>
      </c>
      <c r="P53" s="179">
        <v>14</v>
      </c>
      <c r="Q53" s="179">
        <v>15</v>
      </c>
      <c r="R53" s="179">
        <v>16</v>
      </c>
      <c r="S53" s="179">
        <v>17</v>
      </c>
      <c r="T53" s="179">
        <v>18</v>
      </c>
      <c r="U53" s="180" t="s">
        <v>2</v>
      </c>
      <c r="V53" s="184" t="s">
        <v>37</v>
      </c>
    </row>
    <row r="54" spans="1:22" x14ac:dyDescent="0.2">
      <c r="A54" s="173"/>
      <c r="B54" s="175"/>
      <c r="C54" s="181">
        <v>3</v>
      </c>
      <c r="D54" s="181">
        <v>4</v>
      </c>
      <c r="E54" s="181">
        <v>5</v>
      </c>
      <c r="F54" s="181">
        <v>3</v>
      </c>
      <c r="G54" s="181">
        <v>4</v>
      </c>
      <c r="H54" s="181">
        <v>5</v>
      </c>
      <c r="I54" s="181">
        <v>4</v>
      </c>
      <c r="J54" s="181">
        <v>4</v>
      </c>
      <c r="K54" s="181">
        <v>4</v>
      </c>
      <c r="L54" s="181">
        <v>3</v>
      </c>
      <c r="M54" s="181">
        <v>4</v>
      </c>
      <c r="N54" s="181">
        <v>5</v>
      </c>
      <c r="O54" s="181">
        <v>3</v>
      </c>
      <c r="P54" s="181">
        <v>4</v>
      </c>
      <c r="Q54" s="181">
        <v>5</v>
      </c>
      <c r="R54" s="181">
        <v>4</v>
      </c>
      <c r="S54" s="181">
        <v>4</v>
      </c>
      <c r="T54" s="181">
        <v>4</v>
      </c>
      <c r="U54" s="175"/>
    </row>
    <row r="55" spans="1:22" x14ac:dyDescent="0.2">
      <c r="A55" s="173"/>
      <c r="B55" s="175"/>
      <c r="C55" s="182">
        <v>5</v>
      </c>
      <c r="D55" s="182">
        <v>3</v>
      </c>
      <c r="E55" s="182">
        <v>1</v>
      </c>
      <c r="F55" s="182">
        <v>11</v>
      </c>
      <c r="G55" s="182">
        <v>9</v>
      </c>
      <c r="H55" s="182">
        <v>17</v>
      </c>
      <c r="I55" s="182">
        <v>13</v>
      </c>
      <c r="J55" s="182">
        <v>15</v>
      </c>
      <c r="K55" s="182">
        <v>7</v>
      </c>
      <c r="L55" s="182">
        <v>18</v>
      </c>
      <c r="M55" s="182">
        <v>16</v>
      </c>
      <c r="N55" s="182">
        <v>6</v>
      </c>
      <c r="O55" s="182">
        <v>8</v>
      </c>
      <c r="P55" s="182">
        <v>10</v>
      </c>
      <c r="Q55" s="182">
        <v>12</v>
      </c>
      <c r="R55" s="182">
        <v>14</v>
      </c>
      <c r="S55" s="182">
        <v>4</v>
      </c>
      <c r="T55" s="182">
        <v>2</v>
      </c>
      <c r="U55" s="183"/>
    </row>
    <row r="56" spans="1:22" x14ac:dyDescent="0.2">
      <c r="A56" s="173" t="s">
        <v>3</v>
      </c>
      <c r="B56" s="176">
        <f>B7</f>
        <v>18</v>
      </c>
      <c r="C56" s="2" cm="1">
        <f t="array" ref="C56">IF(C31 = INDEX($C$44:$T$44, COLUMN()-2), 3, 0)
+ IF(C31 = INDEX($C$45:$T$45, COLUMN()-2), 2, 0)
+ IF(C31 = INDEX($C$46:$T$46, COLUMN()-2), 1, 0)</f>
        <v>0</v>
      </c>
      <c r="D56" s="3" cm="1">
        <f t="array" ref="D56">IF(D31 = INDEX($C$44:$T$44, COLUMN()-2), 3, 0)
+ IF(D31 = INDEX($C$45:$T$45, COLUMN()-2), 2, 0)
+ IF(D31 = INDEX($C$46:$T$46, COLUMN()-2), 1, 0)</f>
        <v>2</v>
      </c>
      <c r="E56" s="3" cm="1">
        <f t="array" ref="E56">IF(E31 = INDEX($C$44:$T$44, COLUMN()-2), 3, 0)
+ IF(E31 = INDEX($C$45:$T$45, COLUMN()-2), 2, 0)
+ IF(E31 = INDEX($C$46:$T$46, COLUMN()-2), 1, 0)</f>
        <v>0</v>
      </c>
      <c r="F56" s="3" cm="1">
        <f t="array" ref="F56">IF(F31 = INDEX($C$44:$T$44, COLUMN()-2), 3, 0)
+ IF(F31 = INDEX($C$45:$T$45, COLUMN()-2), 2, 0)
+ IF(F31 = INDEX($C$46:$T$46, COLUMN()-2), 1, 0)</f>
        <v>0</v>
      </c>
      <c r="G56" s="3" cm="1">
        <f t="array" ref="G56">IF(G31 = INDEX($C$44:$T$44, COLUMN()-2), 3, 0)
+ IF(G31 = INDEX($C$45:$T$45, COLUMN()-2), 2, 0)
+ IF(G31 = INDEX($C$46:$T$46, COLUMN()-2), 1, 0)</f>
        <v>0</v>
      </c>
      <c r="H56" s="3" cm="1">
        <f t="array" ref="H56">IF(H31 = INDEX($C$44:$T$44, COLUMN()-2), 3, 0)
+ IF(H31 = INDEX($C$45:$T$45, COLUMN()-2), 2, 0)
+ IF(H31 = INDEX($C$46:$T$46, COLUMN()-2), 1, 0)</f>
        <v>0</v>
      </c>
      <c r="I56" s="3" cm="1">
        <f t="array" ref="I56">IF(I31 = INDEX($C$44:$T$44, COLUMN()-2), 3, 0)
+ IF(I31 = INDEX($C$45:$T$45, COLUMN()-2), 2, 0)
+ IF(I31 = INDEX($C$46:$T$46, COLUMN()-2), 1, 0)</f>
        <v>0</v>
      </c>
      <c r="J56" s="3" cm="1">
        <f t="array" ref="J56">IF(J31 = INDEX($C$44:$T$44, COLUMN()-2), 3, 0)
+ IF(J31 = INDEX($C$45:$T$45, COLUMN()-2), 2, 0)
+ IF(J31 = INDEX($C$46:$T$46, COLUMN()-2), 1, 0)</f>
        <v>0</v>
      </c>
      <c r="K56" s="3" cm="1">
        <f t="array" ref="K56">IF(K31 = INDEX($C$44:$T$44, COLUMN()-2), 3, 0)
+ IF(K31 = INDEX($C$45:$T$45, COLUMN()-2), 2, 0)
+ IF(K31 = INDEX($C$46:$T$46, COLUMN()-2), 1, 0)</f>
        <v>2</v>
      </c>
      <c r="L56" s="3" cm="1">
        <f t="array" ref="L56">IF(L31 = INDEX($C$44:$T$44, COLUMN()-2), 3, 0)
+ IF(L31 = INDEX($C$45:$T$45, COLUMN()-2), 2, 0)
+ IF(L31 = INDEX($C$46:$T$46, COLUMN()-2), 1, 0)</f>
        <v>0</v>
      </c>
      <c r="M56" s="3" cm="1">
        <f t="array" ref="M56">IF(M31 = INDEX($C$44:$T$44, COLUMN()-2), 3, 0)
+ IF(M31 = INDEX($C$45:$T$45, COLUMN()-2), 2, 0)
+ IF(M31 = INDEX($C$46:$T$46, COLUMN()-2), 1, 0)</f>
        <v>0</v>
      </c>
      <c r="N56" s="3" cm="1">
        <f t="array" ref="N56">IF(N31 = INDEX($C$44:$T$44, COLUMN()-2), 3, 0)
+ IF(N31 = INDEX($C$45:$T$45, COLUMN()-2), 2, 0)
+ IF(N31 = INDEX($C$46:$T$46, COLUMN()-2), 1, 0)</f>
        <v>0</v>
      </c>
      <c r="O56" s="3" cm="1">
        <f t="array" ref="O56">IF(O31 = INDEX($C$44:$T$44, COLUMN()-2), 3, 0)
+ IF(O31 = INDEX($C$45:$T$45, COLUMN()-2), 2, 0)
+ IF(O31 = INDEX($C$46:$T$46, COLUMN()-2), 1, 0)</f>
        <v>0</v>
      </c>
      <c r="P56" s="3" cm="1">
        <f t="array" ref="P56">IF(P31 = INDEX($C$44:$T$44, COLUMN()-2), 3, 0)
+ IF(P31 = INDEX($C$45:$T$45, COLUMN()-2), 2, 0)
+ IF(P31 = INDEX($C$46:$T$46, COLUMN()-2), 1, 0)</f>
        <v>0</v>
      </c>
      <c r="Q56" s="3" cm="1">
        <f t="array" ref="Q56">IF(Q31 = INDEX($C$44:$T$44, COLUMN()-2), 3, 0)
+ IF(Q31 = INDEX($C$45:$T$45, COLUMN()-2), 2, 0)
+ IF(Q31 = INDEX($C$46:$T$46, COLUMN()-2), 1, 0)</f>
        <v>0</v>
      </c>
      <c r="R56" s="3" cm="1">
        <f t="array" ref="R56">IF(R31 = INDEX($C$44:$T$44, COLUMN()-2), 3, 0)
+ IF(R31 = INDEX($C$45:$T$45, COLUMN()-2), 2, 0)
+ IF(R31 = INDEX($C$46:$T$46, COLUMN()-2), 1, 0)</f>
        <v>0</v>
      </c>
      <c r="S56" s="3" cm="1">
        <f t="array" ref="S56">IF(S31 = INDEX($C$44:$T$44, COLUMN()-2), 3, 0)
+ IF(S31 = INDEX($C$45:$T$45, COLUMN()-2), 2, 0)
+ IF(S31 = INDEX($C$46:$T$46, COLUMN()-2), 1, 0)</f>
        <v>0</v>
      </c>
      <c r="T56" s="3" cm="1">
        <f t="array" ref="T56">IF(T31 = INDEX($C$44:$T$44, COLUMN()-2), 3, 0)
+ IF(T31 = INDEX($C$45:$T$45, COLUMN()-2), 2, 0)
+ IF(T31 = INDEX($C$46:$T$46, COLUMN()-2), 1, 0)</f>
        <v>0</v>
      </c>
      <c r="U56" s="4">
        <f>SUM(C56:T56)</f>
        <v>4</v>
      </c>
    </row>
    <row r="57" spans="1:22" x14ac:dyDescent="0.2">
      <c r="A57" s="173" t="s">
        <v>4</v>
      </c>
      <c r="B57" s="176">
        <f t="shared" ref="B57:B63" si="24">B8</f>
        <v>18</v>
      </c>
      <c r="C57" s="11" cm="1">
        <f t="array" ref="C57">IF(C32 = INDEX($C$44:$T$44, COLUMN()-2), 3, 0)
+ IF(C32 = INDEX($C$45:$T$45, COLUMN()-2), 2, 0)
+ IF(C32 = INDEX($C$46:$T$46, COLUMN()-2), 1, 0)</f>
        <v>3</v>
      </c>
      <c r="D57" s="1" cm="1">
        <f t="array" ref="D57">IF(D32 = INDEX($C$44:$T$44, COLUMN()-2), 3, 0)
+ IF(D32 = INDEX($C$45:$T$45, COLUMN()-2), 2, 0)
+ IF(D32 = INDEX($C$46:$T$46, COLUMN()-2), 1, 0)</f>
        <v>3</v>
      </c>
      <c r="E57" s="1" cm="1">
        <f t="array" ref="E57">IF(E32 = INDEX($C$44:$T$44, COLUMN()-2), 3, 0)
+ IF(E32 = INDEX($C$45:$T$45, COLUMN()-2), 2, 0)
+ IF(E32 = INDEX($C$46:$T$46, COLUMN()-2), 1, 0)</f>
        <v>3</v>
      </c>
      <c r="F57" s="1" cm="1">
        <f t="array" ref="F57">IF(F32 = INDEX($C$44:$T$44, COLUMN()-2), 3, 0)
+ IF(F32 = INDEX($C$45:$T$45, COLUMN()-2), 2, 0)
+ IF(F32 = INDEX($C$46:$T$46, COLUMN()-2), 1, 0)</f>
        <v>3</v>
      </c>
      <c r="G57" s="1" cm="1">
        <f t="array" ref="G57">IF(G32 = INDEX($C$44:$T$44, COLUMN()-2), 3, 0)
+ IF(G32 = INDEX($C$45:$T$45, COLUMN()-2), 2, 0)
+ IF(G32 = INDEX($C$46:$T$46, COLUMN()-2), 1, 0)</f>
        <v>3</v>
      </c>
      <c r="H57" s="1" cm="1">
        <f t="array" ref="H57">IF(H32 = INDEX($C$44:$T$44, COLUMN()-2), 3, 0)
+ IF(H32 = INDEX($C$45:$T$45, COLUMN()-2), 2, 0)
+ IF(H32 = INDEX($C$46:$T$46, COLUMN()-2), 1, 0)</f>
        <v>3</v>
      </c>
      <c r="I57" s="1" cm="1">
        <f t="array" ref="I57">IF(I32 = INDEX($C$44:$T$44, COLUMN()-2), 3, 0)
+ IF(I32 = INDEX($C$45:$T$45, COLUMN()-2), 2, 0)
+ IF(I32 = INDEX($C$46:$T$46, COLUMN()-2), 1, 0)</f>
        <v>3</v>
      </c>
      <c r="J57" s="1" cm="1">
        <f t="array" ref="J57">IF(J32 = INDEX($C$44:$T$44, COLUMN()-2), 3, 0)
+ IF(J32 = INDEX($C$45:$T$45, COLUMN()-2), 2, 0)
+ IF(J32 = INDEX($C$46:$T$46, COLUMN()-2), 1, 0)</f>
        <v>3</v>
      </c>
      <c r="K57" s="1" cm="1">
        <f t="array" ref="K57">IF(K32 = INDEX($C$44:$T$44, COLUMN()-2), 3, 0)
+ IF(K32 = INDEX($C$45:$T$45, COLUMN()-2), 2, 0)
+ IF(K32 = INDEX($C$46:$T$46, COLUMN()-2), 1, 0)</f>
        <v>0</v>
      </c>
      <c r="L57" s="1" cm="1">
        <f t="array" ref="L57">IF(L32 = INDEX($C$44:$T$44, COLUMN()-2), 3, 0)
+ IF(L32 = INDEX($C$45:$T$45, COLUMN()-2), 2, 0)
+ IF(L32 = INDEX($C$46:$T$46, COLUMN()-2), 1, 0)</f>
        <v>0</v>
      </c>
      <c r="M57" s="1" cm="1">
        <f t="array" ref="M57">IF(M32 = INDEX($C$44:$T$44, COLUMN()-2), 3, 0)
+ IF(M32 = INDEX($C$45:$T$45, COLUMN()-2), 2, 0)
+ IF(M32 = INDEX($C$46:$T$46, COLUMN()-2), 1, 0)</f>
        <v>0</v>
      </c>
      <c r="N57" s="1" cm="1">
        <f t="array" ref="N57">IF(N32 = INDEX($C$44:$T$44, COLUMN()-2), 3, 0)
+ IF(N32 = INDEX($C$45:$T$45, COLUMN()-2), 2, 0)
+ IF(N32 = INDEX($C$46:$T$46, COLUMN()-2), 1, 0)</f>
        <v>0</v>
      </c>
      <c r="O57" s="1" cm="1">
        <f t="array" ref="O57">IF(O32 = INDEX($C$44:$T$44, COLUMN()-2), 3, 0)
+ IF(O32 = INDEX($C$45:$T$45, COLUMN()-2), 2, 0)
+ IF(O32 = INDEX($C$46:$T$46, COLUMN()-2), 1, 0)</f>
        <v>0</v>
      </c>
      <c r="P57" s="1" cm="1">
        <f t="array" ref="P57">IF(P32 = INDEX($C$44:$T$44, COLUMN()-2), 3, 0)
+ IF(P32 = INDEX($C$45:$T$45, COLUMN()-2), 2, 0)
+ IF(P32 = INDEX($C$46:$T$46, COLUMN()-2), 1, 0)</f>
        <v>0</v>
      </c>
      <c r="Q57" s="1" cm="1">
        <f t="array" ref="Q57">IF(Q32 = INDEX($C$44:$T$44, COLUMN()-2), 3, 0)
+ IF(Q32 = INDEX($C$45:$T$45, COLUMN()-2), 2, 0)
+ IF(Q32 = INDEX($C$46:$T$46, COLUMN()-2), 1, 0)</f>
        <v>0</v>
      </c>
      <c r="R57" s="1" cm="1">
        <f t="array" ref="R57">IF(R32 = INDEX($C$44:$T$44, COLUMN()-2), 3, 0)
+ IF(R32 = INDEX($C$45:$T$45, COLUMN()-2), 2, 0)
+ IF(R32 = INDEX($C$46:$T$46, COLUMN()-2), 1, 0)</f>
        <v>0</v>
      </c>
      <c r="S57" s="1" cm="1">
        <f t="array" ref="S57">IF(S32 = INDEX($C$44:$T$44, COLUMN()-2), 3, 0)
+ IF(S32 = INDEX($C$45:$T$45, COLUMN()-2), 2, 0)
+ IF(S32 = INDEX($C$46:$T$46, COLUMN()-2), 1, 0)</f>
        <v>0</v>
      </c>
      <c r="T57" s="1" cm="1">
        <f t="array" ref="T57">IF(T32 = INDEX($C$44:$T$44, COLUMN()-2), 3, 0)
+ IF(T32 = INDEX($C$45:$T$45, COLUMN()-2), 2, 0)
+ IF(T32 = INDEX($C$46:$T$46, COLUMN()-2), 1, 0)</f>
        <v>0</v>
      </c>
      <c r="U57" s="9">
        <f t="shared" ref="U57:U63" si="25">SUM(C57:T57)</f>
        <v>24</v>
      </c>
    </row>
    <row r="58" spans="1:22" x14ac:dyDescent="0.2">
      <c r="A58" s="173" t="s">
        <v>5</v>
      </c>
      <c r="B58" s="176">
        <f t="shared" si="24"/>
        <v>18</v>
      </c>
      <c r="C58" s="11" cm="1">
        <f t="array" ref="C58">IF(C33 = INDEX($C$44:$T$44, COLUMN()-2), 3, 0)
+ IF(C33 = INDEX($C$45:$T$45, COLUMN()-2), 2, 0)
+ IF(C33 = INDEX($C$46:$T$46, COLUMN()-2), 1, 0)</f>
        <v>1</v>
      </c>
      <c r="D58" s="1" cm="1">
        <f t="array" ref="D58">IF(D33 = INDEX($C$44:$T$44, COLUMN()-2), 3, 0)
+ IF(D33 = INDEX($C$45:$T$45, COLUMN()-2), 2, 0)
+ IF(D33 = INDEX($C$46:$T$46, COLUMN()-2), 1, 0)</f>
        <v>0</v>
      </c>
      <c r="E58" s="1" cm="1">
        <f t="array" ref="E58">IF(E33 = INDEX($C$44:$T$44, COLUMN()-2), 3, 0)
+ IF(E33 = INDEX($C$45:$T$45, COLUMN()-2), 2, 0)
+ IF(E33 = INDEX($C$46:$T$46, COLUMN()-2), 1, 0)</f>
        <v>2</v>
      </c>
      <c r="F58" s="1" cm="1">
        <f t="array" ref="F58">IF(F33 = INDEX($C$44:$T$44, COLUMN()-2), 3, 0)
+ IF(F33 = INDEX($C$45:$T$45, COLUMN()-2), 2, 0)
+ IF(F33 = INDEX($C$46:$T$46, COLUMN()-2), 1, 0)</f>
        <v>2</v>
      </c>
      <c r="G58" s="1" cm="1">
        <f t="array" ref="G58">IF(G33 = INDEX($C$44:$T$44, COLUMN()-2), 3, 0)
+ IF(G33 = INDEX($C$45:$T$45, COLUMN()-2), 2, 0)
+ IF(G33 = INDEX($C$46:$T$46, COLUMN()-2), 1, 0)</f>
        <v>1</v>
      </c>
      <c r="H58" s="1" cm="1">
        <f t="array" ref="H58">IF(H33 = INDEX($C$44:$T$44, COLUMN()-2), 3, 0)
+ IF(H33 = INDEX($C$45:$T$45, COLUMN()-2), 2, 0)
+ IF(H33 = INDEX($C$46:$T$46, COLUMN()-2), 1, 0)</f>
        <v>1</v>
      </c>
      <c r="I58" s="1" cm="1">
        <f t="array" ref="I58">IF(I33 = INDEX($C$44:$T$44, COLUMN()-2), 3, 0)
+ IF(I33 = INDEX($C$45:$T$45, COLUMN()-2), 2, 0)
+ IF(I33 = INDEX($C$46:$T$46, COLUMN()-2), 1, 0)</f>
        <v>1</v>
      </c>
      <c r="J58" s="1" cm="1">
        <f t="array" ref="J58">IF(J33 = INDEX($C$44:$T$44, COLUMN()-2), 3, 0)
+ IF(J33 = INDEX($C$45:$T$45, COLUMN()-2), 2, 0)
+ IF(J33 = INDEX($C$46:$T$46, COLUMN()-2), 1, 0)</f>
        <v>2</v>
      </c>
      <c r="K58" s="1" cm="1">
        <f t="array" ref="K58">IF(K33 = INDEX($C$44:$T$44, COLUMN()-2), 3, 0)
+ IF(K33 = INDEX($C$45:$T$45, COLUMN()-2), 2, 0)
+ IF(K33 = INDEX($C$46:$T$46, COLUMN()-2), 1, 0)</f>
        <v>1</v>
      </c>
      <c r="L58" s="1" cm="1">
        <f t="array" ref="L58">IF(L33 = INDEX($C$44:$T$44, COLUMN()-2), 3, 0)
+ IF(L33 = INDEX($C$45:$T$45, COLUMN()-2), 2, 0)
+ IF(L33 = INDEX($C$46:$T$46, COLUMN()-2), 1, 0)</f>
        <v>1</v>
      </c>
      <c r="M58" s="1" cm="1">
        <f t="array" ref="M58">IF(M33 = INDEX($C$44:$T$44, COLUMN()-2), 3, 0)
+ IF(M33 = INDEX($C$45:$T$45, COLUMN()-2), 2, 0)
+ IF(M33 = INDEX($C$46:$T$46, COLUMN()-2), 1, 0)</f>
        <v>1</v>
      </c>
      <c r="N58" s="1" cm="1">
        <f t="array" ref="N58">IF(N33 = INDEX($C$44:$T$44, COLUMN()-2), 3, 0)
+ IF(N33 = INDEX($C$45:$T$45, COLUMN()-2), 2, 0)
+ IF(N33 = INDEX($C$46:$T$46, COLUMN()-2), 1, 0)</f>
        <v>1</v>
      </c>
      <c r="O58" s="1" cm="1">
        <f t="array" ref="O58">IF(O33 = INDEX($C$44:$T$44, COLUMN()-2), 3, 0)
+ IF(O33 = INDEX($C$45:$T$45, COLUMN()-2), 2, 0)
+ IF(O33 = INDEX($C$46:$T$46, COLUMN()-2), 1, 0)</f>
        <v>1</v>
      </c>
      <c r="P58" s="1" cm="1">
        <f t="array" ref="P58">IF(P33 = INDEX($C$44:$T$44, COLUMN()-2), 3, 0)
+ IF(P33 = INDEX($C$45:$T$45, COLUMN()-2), 2, 0)
+ IF(P33 = INDEX($C$46:$T$46, COLUMN()-2), 1, 0)</f>
        <v>1</v>
      </c>
      <c r="Q58" s="1" cm="1">
        <f t="array" ref="Q58">IF(Q33 = INDEX($C$44:$T$44, COLUMN()-2), 3, 0)
+ IF(Q33 = INDEX($C$45:$T$45, COLUMN()-2), 2, 0)
+ IF(Q33 = INDEX($C$46:$T$46, COLUMN()-2), 1, 0)</f>
        <v>2</v>
      </c>
      <c r="R58" s="1" cm="1">
        <f t="array" ref="R58">IF(R33 = INDEX($C$44:$T$44, COLUMN()-2), 3, 0)
+ IF(R33 = INDEX($C$45:$T$45, COLUMN()-2), 2, 0)
+ IF(R33 = INDEX($C$46:$T$46, COLUMN()-2), 1, 0)</f>
        <v>2</v>
      </c>
      <c r="S58" s="1" cm="1">
        <f t="array" ref="S58">IF(S33 = INDEX($C$44:$T$44, COLUMN()-2), 3, 0)
+ IF(S33 = INDEX($C$45:$T$45, COLUMN()-2), 2, 0)
+ IF(S33 = INDEX($C$46:$T$46, COLUMN()-2), 1, 0)</f>
        <v>2</v>
      </c>
      <c r="T58" s="1" cm="1">
        <f t="array" ref="T58">IF(T33 = INDEX($C$44:$T$44, COLUMN()-2), 3, 0)
+ IF(T33 = INDEX($C$45:$T$45, COLUMN()-2), 2, 0)
+ IF(T33 = INDEX($C$46:$T$46, COLUMN()-2), 1, 0)</f>
        <v>0</v>
      </c>
      <c r="U58" s="9">
        <f t="shared" si="25"/>
        <v>22</v>
      </c>
    </row>
    <row r="59" spans="1:22" x14ac:dyDescent="0.2">
      <c r="A59" s="173" t="s">
        <v>6</v>
      </c>
      <c r="B59" s="176">
        <f t="shared" si="24"/>
        <v>18</v>
      </c>
      <c r="C59" s="11" cm="1">
        <f t="array" ref="C59">IF(C34 = INDEX($C$44:$T$44, COLUMN()-2), 3, 0)
+ IF(C34 = INDEX($C$45:$T$45, COLUMN()-2), 2, 0)
+ IF(C34 = INDEX($C$46:$T$46, COLUMN()-2), 1, 0)</f>
        <v>0</v>
      </c>
      <c r="D59" s="1" cm="1">
        <f t="array" ref="D59">IF(D34 = INDEX($C$44:$T$44, COLUMN()-2), 3, 0)
+ IF(D34 = INDEX($C$45:$T$45, COLUMN()-2), 2, 0)
+ IF(D34 = INDEX($C$46:$T$46, COLUMN()-2), 1, 0)</f>
        <v>0</v>
      </c>
      <c r="E59" s="1" cm="1">
        <f t="array" ref="E59">IF(E34 = INDEX($C$44:$T$44, COLUMN()-2), 3, 0)
+ IF(E34 = INDEX($C$45:$T$45, COLUMN()-2), 2, 0)
+ IF(E34 = INDEX($C$46:$T$46, COLUMN()-2), 1, 0)</f>
        <v>1</v>
      </c>
      <c r="F59" s="1" cm="1">
        <f t="array" ref="F59">IF(F34 = INDEX($C$44:$T$44, COLUMN()-2), 3, 0)
+ IF(F34 = INDEX($C$45:$T$45, COLUMN()-2), 2, 0)
+ IF(F34 = INDEX($C$46:$T$46, COLUMN()-2), 1, 0)</f>
        <v>0</v>
      </c>
      <c r="G59" s="1" cm="1">
        <f t="array" ref="G59">IF(G34 = INDEX($C$44:$T$44, COLUMN()-2), 3, 0)
+ IF(G34 = INDEX($C$45:$T$45, COLUMN()-2), 2, 0)
+ IF(G34 = INDEX($C$46:$T$46, COLUMN()-2), 1, 0)</f>
        <v>0</v>
      </c>
      <c r="H59" s="1" cm="1">
        <f t="array" ref="H59">IF(H34 = INDEX($C$44:$T$44, COLUMN()-2), 3, 0)
+ IF(H34 = INDEX($C$45:$T$45, COLUMN()-2), 2, 0)
+ IF(H34 = INDEX($C$46:$T$46, COLUMN()-2), 1, 0)</f>
        <v>0</v>
      </c>
      <c r="I59" s="1" cm="1">
        <f t="array" ref="I59">IF(I34 = INDEX($C$44:$T$44, COLUMN()-2), 3, 0)
+ IF(I34 = INDEX($C$45:$T$45, COLUMN()-2), 2, 0)
+ IF(I34 = INDEX($C$46:$T$46, COLUMN()-2), 1, 0)</f>
        <v>3</v>
      </c>
      <c r="J59" s="1" cm="1">
        <f t="array" ref="J59">IF(J34 = INDEX($C$44:$T$44, COLUMN()-2), 3, 0)
+ IF(J34 = INDEX($C$45:$T$45, COLUMN()-2), 2, 0)
+ IF(J34 = INDEX($C$46:$T$46, COLUMN()-2), 1, 0)</f>
        <v>3</v>
      </c>
      <c r="K59" s="1" cm="1">
        <f t="array" ref="K59">IF(K34 = INDEX($C$44:$T$44, COLUMN()-2), 3, 0)
+ IF(K34 = INDEX($C$45:$T$45, COLUMN()-2), 2, 0)
+ IF(K34 = INDEX($C$46:$T$46, COLUMN()-2), 1, 0)</f>
        <v>3</v>
      </c>
      <c r="L59" s="1" cm="1">
        <f t="array" ref="L59">IF(L34 = INDEX($C$44:$T$44, COLUMN()-2), 3, 0)
+ IF(L34 = INDEX($C$45:$T$45, COLUMN()-2), 2, 0)
+ IF(L34 = INDEX($C$46:$T$46, COLUMN()-2), 1, 0)</f>
        <v>3</v>
      </c>
      <c r="M59" s="1" cm="1">
        <f t="array" ref="M59">IF(M34 = INDEX($C$44:$T$44, COLUMN()-2), 3, 0)
+ IF(M34 = INDEX($C$45:$T$45, COLUMN()-2), 2, 0)
+ IF(M34 = INDEX($C$46:$T$46, COLUMN()-2), 1, 0)</f>
        <v>3</v>
      </c>
      <c r="N59" s="1" cm="1">
        <f t="array" ref="N59">IF(N34 = INDEX($C$44:$T$44, COLUMN()-2), 3, 0)
+ IF(N34 = INDEX($C$45:$T$45, COLUMN()-2), 2, 0)
+ IF(N34 = INDEX($C$46:$T$46, COLUMN()-2), 1, 0)</f>
        <v>3</v>
      </c>
      <c r="O59" s="1" cm="1">
        <f t="array" ref="O59">IF(O34 = INDEX($C$44:$T$44, COLUMN()-2), 3, 0)
+ IF(O34 = INDEX($C$45:$T$45, COLUMN()-2), 2, 0)
+ IF(O34 = INDEX($C$46:$T$46, COLUMN()-2), 1, 0)</f>
        <v>3</v>
      </c>
      <c r="P59" s="1" cm="1">
        <f t="array" ref="P59">IF(P34 = INDEX($C$44:$T$44, COLUMN()-2), 3, 0)
+ IF(P34 = INDEX($C$45:$T$45, COLUMN()-2), 2, 0)
+ IF(P34 = INDEX($C$46:$T$46, COLUMN()-2), 1, 0)</f>
        <v>3</v>
      </c>
      <c r="Q59" s="1" cm="1">
        <f t="array" ref="Q59">IF(Q34 = INDEX($C$44:$T$44, COLUMN()-2), 3, 0)
+ IF(Q34 = INDEX($C$45:$T$45, COLUMN()-2), 2, 0)
+ IF(Q34 = INDEX($C$46:$T$46, COLUMN()-2), 1, 0)</f>
        <v>1</v>
      </c>
      <c r="R59" s="1" cm="1">
        <f t="array" ref="R59">IF(R34 = INDEX($C$44:$T$44, COLUMN()-2), 3, 0)
+ IF(R34 = INDEX($C$45:$T$45, COLUMN()-2), 2, 0)
+ IF(R34 = INDEX($C$46:$T$46, COLUMN()-2), 1, 0)</f>
        <v>1</v>
      </c>
      <c r="S59" s="1" cm="1">
        <f t="array" ref="S59">IF(S34 = INDEX($C$44:$T$44, COLUMN()-2), 3, 0)
+ IF(S34 = INDEX($C$45:$T$45, COLUMN()-2), 2, 0)
+ IF(S34 = INDEX($C$46:$T$46, COLUMN()-2), 1, 0)</f>
        <v>1</v>
      </c>
      <c r="T59" s="1" cm="1">
        <f t="array" ref="T59">IF(T34 = INDEX($C$44:$T$44, COLUMN()-2), 3, 0)
+ IF(T34 = INDEX($C$45:$T$45, COLUMN()-2), 2, 0)
+ IF(T34 = INDEX($C$46:$T$46, COLUMN()-2), 1, 0)</f>
        <v>0</v>
      </c>
      <c r="U59" s="9">
        <f t="shared" si="25"/>
        <v>28</v>
      </c>
    </row>
    <row r="60" spans="1:22" x14ac:dyDescent="0.2">
      <c r="A60" s="173" t="s">
        <v>7</v>
      </c>
      <c r="B60" s="176">
        <f t="shared" si="24"/>
        <v>18</v>
      </c>
      <c r="C60" s="11" cm="1">
        <f t="array" ref="C60">IF(C35 = INDEX($C$44:$T$44, COLUMN()-2), 3, 0)
+ IF(C35 = INDEX($C$45:$T$45, COLUMN()-2), 2, 0)
+ IF(C35 = INDEX($C$46:$T$46, COLUMN()-2), 1, 0)</f>
        <v>2</v>
      </c>
      <c r="D60" s="1" cm="1">
        <f t="array" ref="D60">IF(D35 = INDEX($C$44:$T$44, COLUMN()-2), 3, 0)
+ IF(D35 = INDEX($C$45:$T$45, COLUMN()-2), 2, 0)
+ IF(D35 = INDEX($C$46:$T$46, COLUMN()-2), 1, 0)</f>
        <v>1</v>
      </c>
      <c r="E60" s="1" cm="1">
        <f t="array" ref="E60">IF(E35 = INDEX($C$44:$T$44, COLUMN()-2), 3, 0)
+ IF(E35 = INDEX($C$45:$T$45, COLUMN()-2), 2, 0)
+ IF(E35 = INDEX($C$46:$T$46, COLUMN()-2), 1, 0)</f>
        <v>0</v>
      </c>
      <c r="F60" s="1" cm="1">
        <f t="array" ref="F60">IF(F35 = INDEX($C$44:$T$44, COLUMN()-2), 3, 0)
+ IF(F35 = INDEX($C$45:$T$45, COLUMN()-2), 2, 0)
+ IF(F35 = INDEX($C$46:$T$46, COLUMN()-2), 1, 0)</f>
        <v>1</v>
      </c>
      <c r="G60" s="1" cm="1">
        <f t="array" ref="G60">IF(G35 = INDEX($C$44:$T$44, COLUMN()-2), 3, 0)
+ IF(G35 = INDEX($C$45:$T$45, COLUMN()-2), 2, 0)
+ IF(G35 = INDEX($C$46:$T$46, COLUMN()-2), 1, 0)</f>
        <v>2</v>
      </c>
      <c r="H60" s="1" cm="1">
        <f t="array" ref="H60">IF(H35 = INDEX($C$44:$T$44, COLUMN()-2), 3, 0)
+ IF(H35 = INDEX($C$45:$T$45, COLUMN()-2), 2, 0)
+ IF(H35 = INDEX($C$46:$T$46, COLUMN()-2), 1, 0)</f>
        <v>2</v>
      </c>
      <c r="I60" s="1" cm="1">
        <f t="array" ref="I60">IF(I35 = INDEX($C$44:$T$44, COLUMN()-2), 3, 0)
+ IF(I35 = INDEX($C$45:$T$45, COLUMN()-2), 2, 0)
+ IF(I35 = INDEX($C$46:$T$46, COLUMN()-2), 1, 0)</f>
        <v>2</v>
      </c>
      <c r="J60" s="1" cm="1">
        <f t="array" ref="J60">IF(J35 = INDEX($C$44:$T$44, COLUMN()-2), 3, 0)
+ IF(J35 = INDEX($C$45:$T$45, COLUMN()-2), 2, 0)
+ IF(J35 = INDEX($C$46:$T$46, COLUMN()-2), 1, 0)</f>
        <v>3</v>
      </c>
      <c r="K60" s="1" cm="1">
        <f t="array" ref="K60">IF(K35 = INDEX($C$44:$T$44, COLUMN()-2), 3, 0)
+ IF(K35 = INDEX($C$45:$T$45, COLUMN()-2), 2, 0)
+ IF(K35 = INDEX($C$46:$T$46, COLUMN()-2), 1, 0)</f>
        <v>1</v>
      </c>
      <c r="L60" s="1" cm="1">
        <f t="array" ref="L60">IF(L35 = INDEX($C$44:$T$44, COLUMN()-2), 3, 0)
+ IF(L35 = INDEX($C$45:$T$45, COLUMN()-2), 2, 0)
+ IF(L35 = INDEX($C$46:$T$46, COLUMN()-2), 1, 0)</f>
        <v>2</v>
      </c>
      <c r="M60" s="1" cm="1">
        <f t="array" ref="M60">IF(M35 = INDEX($C$44:$T$44, COLUMN()-2), 3, 0)
+ IF(M35 = INDEX($C$45:$T$45, COLUMN()-2), 2, 0)
+ IF(M35 = INDEX($C$46:$T$46, COLUMN()-2), 1, 0)</f>
        <v>2</v>
      </c>
      <c r="N60" s="1" cm="1">
        <f t="array" ref="N60">IF(N35 = INDEX($C$44:$T$44, COLUMN()-2), 3, 0)
+ IF(N35 = INDEX($C$45:$T$45, COLUMN()-2), 2, 0)
+ IF(N35 = INDEX($C$46:$T$46, COLUMN()-2), 1, 0)</f>
        <v>2</v>
      </c>
      <c r="O60" s="1" cm="1">
        <f t="array" ref="O60">IF(O35 = INDEX($C$44:$T$44, COLUMN()-2), 3, 0)
+ IF(O35 = INDEX($C$45:$T$45, COLUMN()-2), 2, 0)
+ IF(O35 = INDEX($C$46:$T$46, COLUMN()-2), 1, 0)</f>
        <v>2</v>
      </c>
      <c r="P60" s="1" cm="1">
        <f t="array" ref="P60">IF(P35 = INDEX($C$44:$T$44, COLUMN()-2), 3, 0)
+ IF(P35 = INDEX($C$45:$T$45, COLUMN()-2), 2, 0)
+ IF(P35 = INDEX($C$46:$T$46, COLUMN()-2), 1, 0)</f>
        <v>2</v>
      </c>
      <c r="Q60" s="1" cm="1">
        <f t="array" ref="Q60">IF(Q35 = INDEX($C$44:$T$44, COLUMN()-2), 3, 0)
+ IF(Q35 = INDEX($C$45:$T$45, COLUMN()-2), 2, 0)
+ IF(Q35 = INDEX($C$46:$T$46, COLUMN()-2), 1, 0)</f>
        <v>0</v>
      </c>
      <c r="R60" s="1" cm="1">
        <f t="array" ref="R60">IF(R35 = INDEX($C$44:$T$44, COLUMN()-2), 3, 0)
+ IF(R35 = INDEX($C$45:$T$45, COLUMN()-2), 2, 0)
+ IF(R35 = INDEX($C$46:$T$46, COLUMN()-2), 1, 0)</f>
        <v>0</v>
      </c>
      <c r="S60" s="1" cm="1">
        <f t="array" ref="S60">IF(S35 = INDEX($C$44:$T$44, COLUMN()-2), 3, 0)
+ IF(S35 = INDEX($C$45:$T$45, COLUMN()-2), 2, 0)
+ IF(S35 = INDEX($C$46:$T$46, COLUMN()-2), 1, 0)</f>
        <v>0</v>
      </c>
      <c r="T60" s="1" cm="1">
        <f t="array" ref="T60">IF(T35 = INDEX($C$44:$T$44, COLUMN()-2), 3, 0)
+ IF(T35 = INDEX($C$45:$T$45, COLUMN()-2), 2, 0)
+ IF(T35 = INDEX($C$46:$T$46, COLUMN()-2), 1, 0)</f>
        <v>0</v>
      </c>
      <c r="U60" s="9">
        <f t="shared" si="25"/>
        <v>24</v>
      </c>
    </row>
    <row r="61" spans="1:22" x14ac:dyDescent="0.2">
      <c r="A61" s="173" t="s">
        <v>8</v>
      </c>
      <c r="B61" s="176">
        <f t="shared" si="24"/>
        <v>18</v>
      </c>
      <c r="C61" s="11" cm="1">
        <f t="array" ref="C61">IF(C36 = INDEX($C$44:$T$44, COLUMN()-2), 3, 0)
+ IF(C36 = INDEX($C$45:$T$45, COLUMN()-2), 2, 0)
+ IF(C36 = INDEX($C$46:$T$46, COLUMN()-2), 1, 0)</f>
        <v>3</v>
      </c>
      <c r="D61" s="1" cm="1">
        <f t="array" ref="D61">IF(D36 = INDEX($C$44:$T$44, COLUMN()-2), 3, 0)
+ IF(D36 = INDEX($C$45:$T$45, COLUMN()-2), 2, 0)
+ IF(D36 = INDEX($C$46:$T$46, COLUMN()-2), 1, 0)</f>
        <v>3</v>
      </c>
      <c r="E61" s="1" cm="1">
        <f t="array" ref="E61">IF(E36 = INDEX($C$44:$T$44, COLUMN()-2), 3, 0)
+ IF(E36 = INDEX($C$45:$T$45, COLUMN()-2), 2, 0)
+ IF(E36 = INDEX($C$46:$T$46, COLUMN()-2), 1, 0)</f>
        <v>3</v>
      </c>
      <c r="F61" s="1" cm="1">
        <f t="array" ref="F61">IF(F36 = INDEX($C$44:$T$44, COLUMN()-2), 3, 0)
+ IF(F36 = INDEX($C$45:$T$45, COLUMN()-2), 2, 0)
+ IF(F36 = INDEX($C$46:$T$46, COLUMN()-2), 1, 0)</f>
        <v>3</v>
      </c>
      <c r="G61" s="1" cm="1">
        <f t="array" ref="G61">IF(G36 = INDEX($C$44:$T$44, COLUMN()-2), 3, 0)
+ IF(G36 = INDEX($C$45:$T$45, COLUMN()-2), 2, 0)
+ IF(G36 = INDEX($C$46:$T$46, COLUMN()-2), 1, 0)</f>
        <v>3</v>
      </c>
      <c r="H61" s="1" cm="1">
        <f t="array" ref="H61">IF(H36 = INDEX($C$44:$T$44, COLUMN()-2), 3, 0)
+ IF(H36 = INDEX($C$45:$T$45, COLUMN()-2), 2, 0)
+ IF(H36 = INDEX($C$46:$T$46, COLUMN()-2), 1, 0)</f>
        <v>3</v>
      </c>
      <c r="I61" s="1" cm="1">
        <f t="array" ref="I61">IF(I36 = INDEX($C$44:$T$44, COLUMN()-2), 3, 0)
+ IF(I36 = INDEX($C$45:$T$45, COLUMN()-2), 2, 0)
+ IF(I36 = INDEX($C$46:$T$46, COLUMN()-2), 1, 0)</f>
        <v>3</v>
      </c>
      <c r="J61" s="1" cm="1">
        <f t="array" ref="J61">IF(J36 = INDEX($C$44:$T$44, COLUMN()-2), 3, 0)
+ IF(J36 = INDEX($C$45:$T$45, COLUMN()-2), 2, 0)
+ IF(J36 = INDEX($C$46:$T$46, COLUMN()-2), 1, 0)</f>
        <v>3</v>
      </c>
      <c r="K61" s="1" cm="1">
        <f t="array" ref="K61">IF(K36 = INDEX($C$44:$T$44, COLUMN()-2), 3, 0)
+ IF(K36 = INDEX($C$45:$T$45, COLUMN()-2), 2, 0)
+ IF(K36 = INDEX($C$46:$T$46, COLUMN()-2), 1, 0)</f>
        <v>3</v>
      </c>
      <c r="L61" s="1" cm="1">
        <f t="array" ref="L61">IF(L36 = INDEX($C$44:$T$44, COLUMN()-2), 3, 0)
+ IF(L36 = INDEX($C$45:$T$45, COLUMN()-2), 2, 0)
+ IF(L36 = INDEX($C$46:$T$46, COLUMN()-2), 1, 0)</f>
        <v>3</v>
      </c>
      <c r="M61" s="1" cm="1">
        <f t="array" ref="M61">IF(M36 = INDEX($C$44:$T$44, COLUMN()-2), 3, 0)
+ IF(M36 = INDEX($C$45:$T$45, COLUMN()-2), 2, 0)
+ IF(M36 = INDEX($C$46:$T$46, COLUMN()-2), 1, 0)</f>
        <v>3</v>
      </c>
      <c r="N61" s="1" cm="1">
        <f t="array" ref="N61">IF(N36 = INDEX($C$44:$T$44, COLUMN()-2), 3, 0)
+ IF(N36 = INDEX($C$45:$T$45, COLUMN()-2), 2, 0)
+ IF(N36 = INDEX($C$46:$T$46, COLUMN()-2), 1, 0)</f>
        <v>3</v>
      </c>
      <c r="O61" s="1" cm="1">
        <f t="array" ref="O61">IF(O36 = INDEX($C$44:$T$44, COLUMN()-2), 3, 0)
+ IF(O36 = INDEX($C$45:$T$45, COLUMN()-2), 2, 0)
+ IF(O36 = INDEX($C$46:$T$46, COLUMN()-2), 1, 0)</f>
        <v>3</v>
      </c>
      <c r="P61" s="1" cm="1">
        <f t="array" ref="P61">IF(P36 = INDEX($C$44:$T$44, COLUMN()-2), 3, 0)
+ IF(P36 = INDEX($C$45:$T$45, COLUMN()-2), 2, 0)
+ IF(P36 = INDEX($C$46:$T$46, COLUMN()-2), 1, 0)</f>
        <v>3</v>
      </c>
      <c r="Q61" s="1" cm="1">
        <f t="array" ref="Q61">IF(Q36 = INDEX($C$44:$T$44, COLUMN()-2), 3, 0)
+ IF(Q36 = INDEX($C$45:$T$45, COLUMN()-2), 2, 0)
+ IF(Q36 = INDEX($C$46:$T$46, COLUMN()-2), 1, 0)</f>
        <v>3</v>
      </c>
      <c r="R61" s="1" cm="1">
        <f t="array" ref="R61">IF(R36 = INDEX($C$44:$T$44, COLUMN()-2), 3, 0)
+ IF(R36 = INDEX($C$45:$T$45, COLUMN()-2), 2, 0)
+ IF(R36 = INDEX($C$46:$T$46, COLUMN()-2), 1, 0)</f>
        <v>3</v>
      </c>
      <c r="S61" s="1" cm="1">
        <f t="array" ref="S61">IF(S36 = INDEX($C$44:$T$44, COLUMN()-2), 3, 0)
+ IF(S36 = INDEX($C$45:$T$45, COLUMN()-2), 2, 0)
+ IF(S36 = INDEX($C$46:$T$46, COLUMN()-2), 1, 0)</f>
        <v>3</v>
      </c>
      <c r="T61" s="1" cm="1">
        <f t="array" ref="T61">IF(T36 = INDEX($C$44:$T$44, COLUMN()-2), 3, 0)
+ IF(T36 = INDEX($C$45:$T$45, COLUMN()-2), 2, 0)
+ IF(T36 = INDEX($C$46:$T$46, COLUMN()-2), 1, 0)</f>
        <v>3</v>
      </c>
      <c r="U61" s="9">
        <f t="shared" si="25"/>
        <v>54</v>
      </c>
    </row>
    <row r="62" spans="1:22" x14ac:dyDescent="0.2">
      <c r="A62" s="173" t="s">
        <v>9</v>
      </c>
      <c r="B62" s="176">
        <f t="shared" si="24"/>
        <v>18</v>
      </c>
      <c r="C62" s="11" cm="1">
        <f t="array" ref="C62">IF(C37 = INDEX($C$44:$T$44, COLUMN()-2), 3, 0)
+ IF(C37 = INDEX($C$45:$T$45, COLUMN()-2), 2, 0)
+ IF(C37 = INDEX($C$46:$T$46, COLUMN()-2), 1, 0)</f>
        <v>0</v>
      </c>
      <c r="D62" s="1" cm="1">
        <f t="array" ref="D62">IF(D37 = INDEX($C$44:$T$44, COLUMN()-2), 3, 0)
+ IF(D37 = INDEX($C$45:$T$45, COLUMN()-2), 2, 0)
+ IF(D37 = INDEX($C$46:$T$46, COLUMN()-2), 1, 0)</f>
        <v>0</v>
      </c>
      <c r="E62" s="1" cm="1">
        <f t="array" ref="E62">IF(E37 = INDEX($C$44:$T$44, COLUMN()-2), 3, 0)
+ IF(E37 = INDEX($C$45:$T$45, COLUMN()-2), 2, 0)
+ IF(E37 = INDEX($C$46:$T$46, COLUMN()-2), 1, 0)</f>
        <v>0</v>
      </c>
      <c r="F62" s="1" cm="1">
        <f t="array" ref="F62">IF(F37 = INDEX($C$44:$T$44, COLUMN()-2), 3, 0)
+ IF(F37 = INDEX($C$45:$T$45, COLUMN()-2), 2, 0)
+ IF(F37 = INDEX($C$46:$T$46, COLUMN()-2), 1, 0)</f>
        <v>0</v>
      </c>
      <c r="G62" s="1" cm="1">
        <f t="array" ref="G62">IF(G37 = INDEX($C$44:$T$44, COLUMN()-2), 3, 0)
+ IF(G37 = INDEX($C$45:$T$45, COLUMN()-2), 2, 0)
+ IF(G37 = INDEX($C$46:$T$46, COLUMN()-2), 1, 0)</f>
        <v>0</v>
      </c>
      <c r="H62" s="1" cm="1">
        <f t="array" ref="H62">IF(H37 = INDEX($C$44:$T$44, COLUMN()-2), 3, 0)
+ IF(H37 = INDEX($C$45:$T$45, COLUMN()-2), 2, 0)
+ IF(H37 = INDEX($C$46:$T$46, COLUMN()-2), 1, 0)</f>
        <v>3</v>
      </c>
      <c r="I62" s="1" cm="1">
        <f t="array" ref="I62">IF(I37 = INDEX($C$44:$T$44, COLUMN()-2), 3, 0)
+ IF(I37 = INDEX($C$45:$T$45, COLUMN()-2), 2, 0)
+ IF(I37 = INDEX($C$46:$T$46, COLUMN()-2), 1, 0)</f>
        <v>3</v>
      </c>
      <c r="J62" s="1" cm="1">
        <f t="array" ref="J62">IF(J37 = INDEX($C$44:$T$44, COLUMN()-2), 3, 0)
+ IF(J37 = INDEX($C$45:$T$45, COLUMN()-2), 2, 0)
+ IF(J37 = INDEX($C$46:$T$46, COLUMN()-2), 1, 0)</f>
        <v>1</v>
      </c>
      <c r="K62" s="1" cm="1">
        <f t="array" ref="K62">IF(K37 = INDEX($C$44:$T$44, COLUMN()-2), 3, 0)
+ IF(K37 = INDEX($C$45:$T$45, COLUMN()-2), 2, 0)
+ IF(K37 = INDEX($C$46:$T$46, COLUMN()-2), 1, 0)</f>
        <v>0</v>
      </c>
      <c r="L62" s="1" cm="1">
        <f t="array" ref="L62">IF(L37 = INDEX($C$44:$T$44, COLUMN()-2), 3, 0)
+ IF(L37 = INDEX($C$45:$T$45, COLUMN()-2), 2, 0)
+ IF(L37 = INDEX($C$46:$T$46, COLUMN()-2), 1, 0)</f>
        <v>0</v>
      </c>
      <c r="M62" s="1" cm="1">
        <f t="array" ref="M62">IF(M37 = INDEX($C$44:$T$44, COLUMN()-2), 3, 0)
+ IF(M37 = INDEX($C$45:$T$45, COLUMN()-2), 2, 0)
+ IF(M37 = INDEX($C$46:$T$46, COLUMN()-2), 1, 0)</f>
        <v>0</v>
      </c>
      <c r="N62" s="1" cm="1">
        <f t="array" ref="N62">IF(N37 = INDEX($C$44:$T$44, COLUMN()-2), 3, 0)
+ IF(N37 = INDEX($C$45:$T$45, COLUMN()-2), 2, 0)
+ IF(N37 = INDEX($C$46:$T$46, COLUMN()-2), 1, 0)</f>
        <v>0</v>
      </c>
      <c r="O62" s="1" cm="1">
        <f t="array" ref="O62">IF(O37 = INDEX($C$44:$T$44, COLUMN()-2), 3, 0)
+ IF(O37 = INDEX($C$45:$T$45, COLUMN()-2), 2, 0)
+ IF(O37 = INDEX($C$46:$T$46, COLUMN()-2), 1, 0)</f>
        <v>0</v>
      </c>
      <c r="P62" s="1" cm="1">
        <f t="array" ref="P62">IF(P37 = INDEX($C$44:$T$44, COLUMN()-2), 3, 0)
+ IF(P37 = INDEX($C$45:$T$45, COLUMN()-2), 2, 0)
+ IF(P37 = INDEX($C$46:$T$46, COLUMN()-2), 1, 0)</f>
        <v>0</v>
      </c>
      <c r="Q62" s="1" cm="1">
        <f t="array" ref="Q62">IF(Q37 = INDEX($C$44:$T$44, COLUMN()-2), 3, 0)
+ IF(Q37 = INDEX($C$45:$T$45, COLUMN()-2), 2, 0)
+ IF(Q37 = INDEX($C$46:$T$46, COLUMN()-2), 1, 0)</f>
        <v>0</v>
      </c>
      <c r="R62" s="1" cm="1">
        <f t="array" ref="R62">IF(R37 = INDEX($C$44:$T$44, COLUMN()-2), 3, 0)
+ IF(R37 = INDEX($C$45:$T$45, COLUMN()-2), 2, 0)
+ IF(R37 = INDEX($C$46:$T$46, COLUMN()-2), 1, 0)</f>
        <v>0</v>
      </c>
      <c r="S62" s="1" cm="1">
        <f t="array" ref="S62">IF(S37 = INDEX($C$44:$T$44, COLUMN()-2), 3, 0)
+ IF(S37 = INDEX($C$45:$T$45, COLUMN()-2), 2, 0)
+ IF(S37 = INDEX($C$46:$T$46, COLUMN()-2), 1, 0)</f>
        <v>0</v>
      </c>
      <c r="T62" s="1" cm="1">
        <f t="array" ref="T62">IF(T37 = INDEX($C$44:$T$44, COLUMN()-2), 3, 0)
+ IF(T37 = INDEX($C$45:$T$45, COLUMN()-2), 2, 0)
+ IF(T37 = INDEX($C$46:$T$46, COLUMN()-2), 1, 0)</f>
        <v>1</v>
      </c>
      <c r="U62" s="9">
        <f t="shared" si="25"/>
        <v>8</v>
      </c>
    </row>
    <row r="63" spans="1:22" x14ac:dyDescent="0.2">
      <c r="A63" s="174" t="s">
        <v>10</v>
      </c>
      <c r="B63" s="177">
        <f t="shared" si="24"/>
        <v>18</v>
      </c>
      <c r="C63" s="5" cm="1">
        <f t="array" ref="C63">IF(C38 = INDEX($C$44:$T$44, COLUMN()-2), 3, 0)
+ IF(C38 = INDEX($C$45:$T$45, COLUMN()-2), 2, 0)
+ IF(C38 = INDEX($C$46:$T$46, COLUMN()-2), 1, 0)</f>
        <v>0</v>
      </c>
      <c r="D63" s="6" cm="1">
        <f t="array" ref="D63">IF(D38 = INDEX($C$44:$T$44, COLUMN()-2), 3, 0)
+ IF(D38 = INDEX($C$45:$T$45, COLUMN()-2), 2, 0)
+ IF(D38 = INDEX($C$46:$T$46, COLUMN()-2), 1, 0)</f>
        <v>0</v>
      </c>
      <c r="E63" s="6" cm="1">
        <f t="array" ref="E63">IF(E38 = INDEX($C$44:$T$44, COLUMN()-2), 3, 0)
+ IF(E38 = INDEX($C$45:$T$45, COLUMN()-2), 2, 0)
+ IF(E38 = INDEX($C$46:$T$46, COLUMN()-2), 1, 0)</f>
        <v>0</v>
      </c>
      <c r="F63" s="6" cm="1">
        <f t="array" ref="F63">IF(F38 = INDEX($C$44:$T$44, COLUMN()-2), 3, 0)
+ IF(F38 = INDEX($C$45:$T$45, COLUMN()-2), 2, 0)
+ IF(F38 = INDEX($C$46:$T$46, COLUMN()-2), 1, 0)</f>
        <v>0</v>
      </c>
      <c r="G63" s="6" cm="1">
        <f t="array" ref="G63">IF(G38 = INDEX($C$44:$T$44, COLUMN()-2), 3, 0)
+ IF(G38 = INDEX($C$45:$T$45, COLUMN()-2), 2, 0)
+ IF(G38 = INDEX($C$46:$T$46, COLUMN()-2), 1, 0)</f>
        <v>0</v>
      </c>
      <c r="H63" s="6" cm="1">
        <f t="array" ref="H63">IF(H38 = INDEX($C$44:$T$44, COLUMN()-2), 3, 0)
+ IF(H38 = INDEX($C$45:$T$45, COLUMN()-2), 2, 0)
+ IF(H38 = INDEX($C$46:$T$46, COLUMN()-2), 1, 0)</f>
        <v>0</v>
      </c>
      <c r="I63" s="6" cm="1">
        <f t="array" ref="I63">IF(I38 = INDEX($C$44:$T$44, COLUMN()-2), 3, 0)
+ IF(I38 = INDEX($C$45:$T$45, COLUMN()-2), 2, 0)
+ IF(I38 = INDEX($C$46:$T$46, COLUMN()-2), 1, 0)</f>
        <v>0</v>
      </c>
      <c r="J63" s="6" cm="1">
        <f t="array" ref="J63">IF(J38 = INDEX($C$44:$T$44, COLUMN()-2), 3, 0)
+ IF(J38 = INDEX($C$45:$T$45, COLUMN()-2), 2, 0)
+ IF(J38 = INDEX($C$46:$T$46, COLUMN()-2), 1, 0)</f>
        <v>1</v>
      </c>
      <c r="K63" s="6" cm="1">
        <f t="array" ref="K63">IF(K38 = INDEX($C$44:$T$44, COLUMN()-2), 3, 0)
+ IF(K38 = INDEX($C$45:$T$45, COLUMN()-2), 2, 0)
+ IF(K38 = INDEX($C$46:$T$46, COLUMN()-2), 1, 0)</f>
        <v>3</v>
      </c>
      <c r="L63" s="6" cm="1">
        <f t="array" ref="L63">IF(L38 = INDEX($C$44:$T$44, COLUMN()-2), 3, 0)
+ IF(L38 = INDEX($C$45:$T$45, COLUMN()-2), 2, 0)
+ IF(L38 = INDEX($C$46:$T$46, COLUMN()-2), 1, 0)</f>
        <v>0</v>
      </c>
      <c r="M63" s="6" cm="1">
        <f t="array" ref="M63">IF(M38 = INDEX($C$44:$T$44, COLUMN()-2), 3, 0)
+ IF(M38 = INDEX($C$45:$T$45, COLUMN()-2), 2, 0)
+ IF(M38 = INDEX($C$46:$T$46, COLUMN()-2), 1, 0)</f>
        <v>0</v>
      </c>
      <c r="N63" s="6" cm="1">
        <f t="array" ref="N63">IF(N38 = INDEX($C$44:$T$44, COLUMN()-2), 3, 0)
+ IF(N38 = INDEX($C$45:$T$45, COLUMN()-2), 2, 0)
+ IF(N38 = INDEX($C$46:$T$46, COLUMN()-2), 1, 0)</f>
        <v>0</v>
      </c>
      <c r="O63" s="6" cm="1">
        <f t="array" ref="O63">IF(O38 = INDEX($C$44:$T$44, COLUMN()-2), 3, 0)
+ IF(O38 = INDEX($C$45:$T$45, COLUMN()-2), 2, 0)
+ IF(O38 = INDEX($C$46:$T$46, COLUMN()-2), 1, 0)</f>
        <v>0</v>
      </c>
      <c r="P63" s="6" cm="1">
        <f t="array" ref="P63">IF(P38 = INDEX($C$44:$T$44, COLUMN()-2), 3, 0)
+ IF(P38 = INDEX($C$45:$T$45, COLUMN()-2), 2, 0)
+ IF(P38 = INDEX($C$46:$T$46, COLUMN()-2), 1, 0)</f>
        <v>0</v>
      </c>
      <c r="Q63" s="6" cm="1">
        <f t="array" ref="Q63">IF(Q38 = INDEX($C$44:$T$44, COLUMN()-2), 3, 0)
+ IF(Q38 = INDEX($C$45:$T$45, COLUMN()-2), 2, 0)
+ IF(Q38 = INDEX($C$46:$T$46, COLUMN()-2), 1, 0)</f>
        <v>0</v>
      </c>
      <c r="R63" s="6" cm="1">
        <f t="array" ref="R63">IF(R38 = INDEX($C$44:$T$44, COLUMN()-2), 3, 0)
+ IF(R38 = INDEX($C$45:$T$45, COLUMN()-2), 2, 0)
+ IF(R38 = INDEX($C$46:$T$46, COLUMN()-2), 1, 0)</f>
        <v>0</v>
      </c>
      <c r="S63" s="6" cm="1">
        <f t="array" ref="S63">IF(S38 = INDEX($C$44:$T$44, COLUMN()-2), 3, 0)
+ IF(S38 = INDEX($C$45:$T$45, COLUMN()-2), 2, 0)
+ IF(S38 = INDEX($C$46:$T$46, COLUMN()-2), 1, 0)</f>
        <v>0</v>
      </c>
      <c r="T63" s="6" cm="1">
        <f t="array" ref="T63">IF(T38 = INDEX($C$44:$T$44, COLUMN()-2), 3, 0)
+ IF(T38 = INDEX($C$45:$T$45, COLUMN()-2), 2, 0)
+ IF(T38 = INDEX($C$46:$T$46, COLUMN()-2), 1, 0)</f>
        <v>2</v>
      </c>
      <c r="U63" s="10">
        <f t="shared" si="25"/>
        <v>6</v>
      </c>
    </row>
    <row r="65" spans="3:20" x14ac:dyDescent="0.2">
      <c r="C65" s="125" t="str" cm="1">
        <f t="array" ref="C65">IFERROR(INDEX($A$56:$A$63, MATCH(LARGE(INDEX($C$56:$T$63,0,COLUMN()-2)+ROW($A$56:$A$63)/1000, ROW(A1)), INDEX($C$56:$T$63,0,COLUMN()-2)+ROW($A$56:$A$63)/1000, 0)), "")</f>
        <v>LAING</v>
      </c>
      <c r="D65" s="126" t="str" cm="1">
        <f t="array" ref="D65">IFERROR(INDEX($A$56:$A$63, MATCH(LARGE(INDEX($C$56:$T$63,0,COLUMN()-2)+ROW($A$56:$A$63)/1000, ROW(B1)), INDEX($C$56:$T$63,0,COLUMN()-2)+ROW($A$56:$A$63)/1000, 0)), "")</f>
        <v>LAING</v>
      </c>
      <c r="E65" s="126" t="str" cm="1">
        <f t="array" ref="E65">IFERROR(INDEX($A$56:$A$63, MATCH(LARGE(INDEX($C$56:$T$63,0,COLUMN()-2)+ROW($A$56:$A$63)/1000, ROW(C1)), INDEX($C$56:$T$63,0,COLUMN()-2)+ROW($A$56:$A$63)/1000, 0)), "")</f>
        <v>LAING</v>
      </c>
      <c r="F65" s="126" t="str" cm="1">
        <f t="array" ref="F65">IFERROR(INDEX($A$56:$A$63, MATCH(LARGE(INDEX($C$56:$T$63,0,COLUMN()-2)+ROW($A$56:$A$63)/1000, ROW(D1)), INDEX($C$56:$T$63,0,COLUMN()-2)+ROW($A$56:$A$63)/1000, 0)), "")</f>
        <v>LAING</v>
      </c>
      <c r="G65" s="126" t="str" cm="1">
        <f t="array" ref="G65">IFERROR(INDEX($A$56:$A$63, MATCH(LARGE(INDEX($C$56:$T$63,0,COLUMN()-2)+ROW($A$56:$A$63)/1000, ROW(E1)), INDEX($C$56:$T$63,0,COLUMN()-2)+ROW($A$56:$A$63)/1000, 0)), "")</f>
        <v>LAING</v>
      </c>
      <c r="H65" s="126" t="str" cm="1">
        <f t="array" ref="H65">IFERROR(INDEX($A$56:$A$63, MATCH(LARGE(INDEX($C$56:$T$63,0,COLUMN()-2)+ROW($A$56:$A$63)/1000, ROW(F1)), INDEX($C$56:$T$63,0,COLUMN()-2)+ROW($A$56:$A$63)/1000, 0)), "")</f>
        <v>REILLY</v>
      </c>
      <c r="I65" s="126" t="str" cm="1">
        <f t="array" ref="I65">IFERROR(INDEX($A$56:$A$63, MATCH(LARGE(INDEX($C$56:$T$63,0,COLUMN()-2)+ROW($A$56:$A$63)/1000, ROW(G1)), INDEX($C$56:$T$63,0,COLUMN()-2)+ROW($A$56:$A$63)/1000, 0)), "")</f>
        <v>REILLY</v>
      </c>
      <c r="J65" s="126" t="str" cm="1">
        <f t="array" ref="J65">IFERROR(INDEX($A$56:$A$63, MATCH(LARGE(INDEX($C$56:$T$63,0,COLUMN()-2)+ROW($A$56:$A$63)/1000, ROW(H1)), INDEX($C$56:$T$63,0,COLUMN()-2)+ROW($A$56:$A$63)/1000, 0)), "")</f>
        <v>LAING</v>
      </c>
      <c r="K65" s="126" t="str" cm="1">
        <f t="array" ref="K65">IFERROR(INDEX($A$56:$A$63, MATCH(LARGE(INDEX($C$56:$T$63,0,COLUMN()-2)+ROW($A$56:$A$63)/1000, ROW(I1)), INDEX($C$56:$T$63,0,COLUMN()-2)+ROW($A$56:$A$63)/1000, 0)), "")</f>
        <v>STONES</v>
      </c>
      <c r="L65" s="126" t="str" cm="1">
        <f t="array" ref="L65">IFERROR(INDEX($A$56:$A$63, MATCH(LARGE(INDEX($C$56:$T$63,0,COLUMN()-2)+ROW($A$56:$A$63)/1000, ROW(J1)), INDEX($C$56:$T$63,0,COLUMN()-2)+ROW($A$56:$A$63)/1000, 0)), "")</f>
        <v>LAING</v>
      </c>
      <c r="M65" s="126" t="str" cm="1">
        <f t="array" ref="M65">IFERROR(INDEX($A$56:$A$63, MATCH(LARGE(INDEX($C$56:$T$63,0,COLUMN()-2)+ROW($A$56:$A$63)/1000, ROW(K1)), INDEX($C$56:$T$63,0,COLUMN()-2)+ROW($A$56:$A$63)/1000, 0)), "")</f>
        <v>LAING</v>
      </c>
      <c r="N65" s="126" t="str" cm="1">
        <f t="array" ref="N65">IFERROR(INDEX($A$56:$A$63, MATCH(LARGE(INDEX($C$56:$T$63,0,COLUMN()-2)+ROW($A$56:$A$63)/1000, ROW(L1)), INDEX($C$56:$T$63,0,COLUMN()-2)+ROW($A$56:$A$63)/1000, 0)), "")</f>
        <v>LAING</v>
      </c>
      <c r="O65" s="126" t="str" cm="1">
        <f t="array" ref="O65">IFERROR(INDEX($A$56:$A$63, MATCH(LARGE(INDEX($C$56:$T$63,0,COLUMN()-2)+ROW($A$56:$A$63)/1000, ROW(M1)), INDEX($C$56:$T$63,0,COLUMN()-2)+ROW($A$56:$A$63)/1000, 0)), "")</f>
        <v>LAING</v>
      </c>
      <c r="P65" s="126" t="str" cm="1">
        <f t="array" ref="P65">IFERROR(INDEX($A$56:$A$63, MATCH(LARGE(INDEX($C$56:$T$63,0,COLUMN()-2)+ROW($A$56:$A$63)/1000, ROW(N1)), INDEX($C$56:$T$63,0,COLUMN()-2)+ROW($A$56:$A$63)/1000, 0)), "")</f>
        <v>LAING</v>
      </c>
      <c r="Q65" s="126" t="str" cm="1">
        <f t="array" ref="Q65">IFERROR(INDEX($A$56:$A$63, MATCH(LARGE(INDEX($C$56:$T$63,0,COLUMN()-2)+ROW($A$56:$A$63)/1000, ROW(O1)), INDEX($C$56:$T$63,0,COLUMN()-2)+ROW($A$56:$A$63)/1000, 0)), "")</f>
        <v>LAING</v>
      </c>
      <c r="R65" s="126" t="str" cm="1">
        <f t="array" ref="R65">IFERROR(INDEX($A$56:$A$63, MATCH(LARGE(INDEX($C$56:$T$63,0,COLUMN()-2)+ROW($A$56:$A$63)/1000, ROW(P1)), INDEX($C$56:$T$63,0,COLUMN()-2)+ROW($A$56:$A$63)/1000, 0)), "")</f>
        <v>LAING</v>
      </c>
      <c r="S65" s="126" t="str" cm="1">
        <f t="array" ref="S65">IFERROR(INDEX($A$56:$A$63, MATCH(LARGE(INDEX($C$56:$T$63,0,COLUMN()-2)+ROW($A$56:$A$63)/1000, ROW(Q1)), INDEX($C$56:$T$63,0,COLUMN()-2)+ROW($A$56:$A$63)/1000, 0)), "")</f>
        <v>LAING</v>
      </c>
      <c r="T65" s="129" t="str" cm="1">
        <f t="array" ref="T65">IFERROR(INDEX($A$56:$A$63, MATCH(LARGE(INDEX($C$56:$T$63,0,COLUMN()-2)+ROW($A$56:$A$63)/1000, ROW(R1)), INDEX($C$56:$T$63,0,COLUMN()-2)+ROW($A$56:$A$63)/1000, 0)), "")</f>
        <v>LAING</v>
      </c>
    </row>
    <row r="66" spans="3:20" x14ac:dyDescent="0.2">
      <c r="C66" s="127" t="str" cm="1">
        <f t="array" ref="C66">IFERROR(INDEX($A$56:$A$63, MATCH(LARGE(INDEX($C$56:$T$63,0,COLUMN()-2)+ROW($A$56:$A$63)/1000, ROW(A2)), INDEX($C$56:$T$63,0,COLUMN()-2)+ROW($A$56:$A$63)/1000, 0)), "")</f>
        <v>DEY</v>
      </c>
      <c r="D66" s="1" t="str" cm="1">
        <f t="array" ref="D66">IFERROR(INDEX($A$56:$A$63, MATCH(LARGE(INDEX($C$56:$T$63,0,COLUMN()-2)+ROW($A$56:$A$63)/1000, ROW(B2)), INDEX($C$56:$T$63,0,COLUMN()-2)+ROW($A$56:$A$63)/1000, 0)), "")</f>
        <v>DEY</v>
      </c>
      <c r="E66" s="1" t="str" cm="1">
        <f t="array" ref="E66">IFERROR(INDEX($A$56:$A$63, MATCH(LARGE(INDEX($C$56:$T$63,0,COLUMN()-2)+ROW($A$56:$A$63)/1000, ROW(C2)), INDEX($C$56:$T$63,0,COLUMN()-2)+ROW($A$56:$A$63)/1000, 0)), "")</f>
        <v>DEY</v>
      </c>
      <c r="F66" s="1" t="str" cm="1">
        <f t="array" ref="F66">IFERROR(INDEX($A$56:$A$63, MATCH(LARGE(INDEX($C$56:$T$63,0,COLUMN()-2)+ROW($A$56:$A$63)/1000, ROW(D2)), INDEX($C$56:$T$63,0,COLUMN()-2)+ROW($A$56:$A$63)/1000, 0)), "")</f>
        <v>DEY</v>
      </c>
      <c r="G66" s="1" t="str" cm="1">
        <f t="array" ref="G66">IFERROR(INDEX($A$56:$A$63, MATCH(LARGE(INDEX($C$56:$T$63,0,COLUMN()-2)+ROW($A$56:$A$63)/1000, ROW(E2)), INDEX($C$56:$T$63,0,COLUMN()-2)+ROW($A$56:$A$63)/1000, 0)), "")</f>
        <v>DEY</v>
      </c>
      <c r="H66" s="1" t="str" cm="1">
        <f t="array" ref="H66">IFERROR(INDEX($A$56:$A$63, MATCH(LARGE(INDEX($C$56:$T$63,0,COLUMN()-2)+ROW($A$56:$A$63)/1000, ROW(F2)), INDEX($C$56:$T$63,0,COLUMN()-2)+ROW($A$56:$A$63)/1000, 0)), "")</f>
        <v>LAING</v>
      </c>
      <c r="I66" s="1" t="str" cm="1">
        <f t="array" ref="I66">IFERROR(INDEX($A$56:$A$63, MATCH(LARGE(INDEX($C$56:$T$63,0,COLUMN()-2)+ROW($A$56:$A$63)/1000, ROW(G2)), INDEX($C$56:$T$63,0,COLUMN()-2)+ROW($A$56:$A$63)/1000, 0)), "")</f>
        <v>LAING</v>
      </c>
      <c r="J66" s="1" t="str" cm="1">
        <f t="array" ref="J66">IFERROR(INDEX($A$56:$A$63, MATCH(LARGE(INDEX($C$56:$T$63,0,COLUMN()-2)+ROW($A$56:$A$63)/1000, ROW(H2)), INDEX($C$56:$T$63,0,COLUMN()-2)+ROW($A$56:$A$63)/1000, 0)), "")</f>
        <v>HOLLANDS</v>
      </c>
      <c r="K66" s="1" t="str" cm="1">
        <f t="array" ref="K66">IFERROR(INDEX($A$56:$A$63, MATCH(LARGE(INDEX($C$56:$T$63,0,COLUMN()-2)+ROW($A$56:$A$63)/1000, ROW(I2)), INDEX($C$56:$T$63,0,COLUMN()-2)+ROW($A$56:$A$63)/1000, 0)), "")</f>
        <v>LAING</v>
      </c>
      <c r="L66" s="1" t="str" cm="1">
        <f t="array" ref="L66">IFERROR(INDEX($A$56:$A$63, MATCH(LARGE(INDEX($C$56:$T$63,0,COLUMN()-2)+ROW($A$56:$A$63)/1000, ROW(J2)), INDEX($C$56:$T$63,0,COLUMN()-2)+ROW($A$56:$A$63)/1000, 0)), "")</f>
        <v>FINDLAY</v>
      </c>
      <c r="M66" s="1" t="str" cm="1">
        <f t="array" ref="M66">IFERROR(INDEX($A$56:$A$63, MATCH(LARGE(INDEX($C$56:$T$63,0,COLUMN()-2)+ROW($A$56:$A$63)/1000, ROW(K2)), INDEX($C$56:$T$63,0,COLUMN()-2)+ROW($A$56:$A$63)/1000, 0)), "")</f>
        <v>FINDLAY</v>
      </c>
      <c r="N66" s="1" t="str" cm="1">
        <f t="array" ref="N66">IFERROR(INDEX($A$56:$A$63, MATCH(LARGE(INDEX($C$56:$T$63,0,COLUMN()-2)+ROW($A$56:$A$63)/1000, ROW(L2)), INDEX($C$56:$T$63,0,COLUMN()-2)+ROW($A$56:$A$63)/1000, 0)), "")</f>
        <v>FINDLAY</v>
      </c>
      <c r="O66" s="1" t="str" cm="1">
        <f t="array" ref="O66">IFERROR(INDEX($A$56:$A$63, MATCH(LARGE(INDEX($C$56:$T$63,0,COLUMN()-2)+ROW($A$56:$A$63)/1000, ROW(M2)), INDEX($C$56:$T$63,0,COLUMN()-2)+ROW($A$56:$A$63)/1000, 0)), "")</f>
        <v>FINDLAY</v>
      </c>
      <c r="P66" s="1" t="str" cm="1">
        <f t="array" ref="P66">IFERROR(INDEX($A$56:$A$63, MATCH(LARGE(INDEX($C$56:$T$63,0,COLUMN()-2)+ROW($A$56:$A$63)/1000, ROW(N2)), INDEX($C$56:$T$63,0,COLUMN()-2)+ROW($A$56:$A$63)/1000, 0)), "")</f>
        <v>FINDLAY</v>
      </c>
      <c r="Q66" s="1" t="str" cm="1">
        <f t="array" ref="Q66">IFERROR(INDEX($A$56:$A$63, MATCH(LARGE(INDEX($C$56:$T$63,0,COLUMN()-2)+ROW($A$56:$A$63)/1000, ROW(O2)), INDEX($C$56:$T$63,0,COLUMN()-2)+ROW($A$56:$A$63)/1000, 0)), "")</f>
        <v>DONOVAN</v>
      </c>
      <c r="R66" s="1" t="str" cm="1">
        <f t="array" ref="R66">IFERROR(INDEX($A$56:$A$63, MATCH(LARGE(INDEX($C$56:$T$63,0,COLUMN()-2)+ROW($A$56:$A$63)/1000, ROW(P2)), INDEX($C$56:$T$63,0,COLUMN()-2)+ROW($A$56:$A$63)/1000, 0)), "")</f>
        <v>DONOVAN</v>
      </c>
      <c r="S66" s="1" t="str" cm="1">
        <f t="array" ref="S66">IFERROR(INDEX($A$56:$A$63, MATCH(LARGE(INDEX($C$56:$T$63,0,COLUMN()-2)+ROW($A$56:$A$63)/1000, ROW(Q2)), INDEX($C$56:$T$63,0,COLUMN()-2)+ROW($A$56:$A$63)/1000, 0)), "")</f>
        <v>DONOVAN</v>
      </c>
      <c r="T66" s="89" t="str" cm="1">
        <f t="array" ref="T66">IFERROR(INDEX($A$56:$A$63, MATCH(LARGE(INDEX($C$56:$T$63,0,COLUMN()-2)+ROW($A$56:$A$63)/1000, ROW(R2)), INDEX($C$56:$T$63,0,COLUMN()-2)+ROW($A$56:$A$63)/1000, 0)), "")</f>
        <v>STONES</v>
      </c>
    </row>
    <row r="67" spans="3:20" x14ac:dyDescent="0.2">
      <c r="C67" s="127" t="str" cm="1">
        <f t="array" ref="C67">IFERROR(INDEX($A$56:$A$63, MATCH(LARGE(INDEX($C$56:$T$63,0,COLUMN()-2)+ROW($A$56:$A$63)/1000, ROW(A3)), INDEX($C$56:$T$63,0,COLUMN()-2)+ROW($A$56:$A$63)/1000, 0)), "")</f>
        <v>HOLLANDS</v>
      </c>
      <c r="D67" s="1" t="str" cm="1">
        <f t="array" ref="D67">IFERROR(INDEX($A$56:$A$63, MATCH(LARGE(INDEX($C$56:$T$63,0,COLUMN()-2)+ROW($A$56:$A$63)/1000, ROW(B3)), INDEX($C$56:$T$63,0,COLUMN()-2)+ROW($A$56:$A$63)/1000, 0)), "")</f>
        <v>BELLIS</v>
      </c>
      <c r="E67" s="1" t="str" cm="1">
        <f t="array" ref="E67">IFERROR(INDEX($A$56:$A$63, MATCH(LARGE(INDEX($C$56:$T$63,0,COLUMN()-2)+ROW($A$56:$A$63)/1000, ROW(C3)), INDEX($C$56:$T$63,0,COLUMN()-2)+ROW($A$56:$A$63)/1000, 0)), "")</f>
        <v>DONOVAN</v>
      </c>
      <c r="F67" s="1" t="str" cm="1">
        <f t="array" ref="F67">IFERROR(INDEX($A$56:$A$63, MATCH(LARGE(INDEX($C$56:$T$63,0,COLUMN()-2)+ROW($A$56:$A$63)/1000, ROW(D3)), INDEX($C$56:$T$63,0,COLUMN()-2)+ROW($A$56:$A$63)/1000, 0)), "")</f>
        <v>DONOVAN</v>
      </c>
      <c r="G67" s="1" t="str" cm="1">
        <f t="array" ref="G67">IFERROR(INDEX($A$56:$A$63, MATCH(LARGE(INDEX($C$56:$T$63,0,COLUMN()-2)+ROW($A$56:$A$63)/1000, ROW(E3)), INDEX($C$56:$T$63,0,COLUMN()-2)+ROW($A$56:$A$63)/1000, 0)), "")</f>
        <v>HOLLANDS</v>
      </c>
      <c r="H67" s="1" t="str" cm="1">
        <f t="array" ref="H67">IFERROR(INDEX($A$56:$A$63, MATCH(LARGE(INDEX($C$56:$T$63,0,COLUMN()-2)+ROW($A$56:$A$63)/1000, ROW(F3)), INDEX($C$56:$T$63,0,COLUMN()-2)+ROW($A$56:$A$63)/1000, 0)), "")</f>
        <v>DEY</v>
      </c>
      <c r="I67" s="1" t="str" cm="1">
        <f t="array" ref="I67">IFERROR(INDEX($A$56:$A$63, MATCH(LARGE(INDEX($C$56:$T$63,0,COLUMN()-2)+ROW($A$56:$A$63)/1000, ROW(G3)), INDEX($C$56:$T$63,0,COLUMN()-2)+ROW($A$56:$A$63)/1000, 0)), "")</f>
        <v>FINDLAY</v>
      </c>
      <c r="J67" s="1" t="str" cm="1">
        <f t="array" ref="J67">IFERROR(INDEX($A$56:$A$63, MATCH(LARGE(INDEX($C$56:$T$63,0,COLUMN()-2)+ROW($A$56:$A$63)/1000, ROW(H3)), INDEX($C$56:$T$63,0,COLUMN()-2)+ROW($A$56:$A$63)/1000, 0)), "")</f>
        <v>FINDLAY</v>
      </c>
      <c r="K67" s="1" t="str" cm="1">
        <f t="array" ref="K67">IFERROR(INDEX($A$56:$A$63, MATCH(LARGE(INDEX($C$56:$T$63,0,COLUMN()-2)+ROW($A$56:$A$63)/1000, ROW(I3)), INDEX($C$56:$T$63,0,COLUMN()-2)+ROW($A$56:$A$63)/1000, 0)), "")</f>
        <v>FINDLAY</v>
      </c>
      <c r="L67" s="1" t="str" cm="1">
        <f t="array" ref="L67">IFERROR(INDEX($A$56:$A$63, MATCH(LARGE(INDEX($C$56:$T$63,0,COLUMN()-2)+ROW($A$56:$A$63)/1000, ROW(J3)), INDEX($C$56:$T$63,0,COLUMN()-2)+ROW($A$56:$A$63)/1000, 0)), "")</f>
        <v>HOLLANDS</v>
      </c>
      <c r="M67" s="1" t="str" cm="1">
        <f t="array" ref="M67">IFERROR(INDEX($A$56:$A$63, MATCH(LARGE(INDEX($C$56:$T$63,0,COLUMN()-2)+ROW($A$56:$A$63)/1000, ROW(K3)), INDEX($C$56:$T$63,0,COLUMN()-2)+ROW($A$56:$A$63)/1000, 0)), "")</f>
        <v>HOLLANDS</v>
      </c>
      <c r="N67" s="1" t="str" cm="1">
        <f t="array" ref="N67">IFERROR(INDEX($A$56:$A$63, MATCH(LARGE(INDEX($C$56:$T$63,0,COLUMN()-2)+ROW($A$56:$A$63)/1000, ROW(L3)), INDEX($C$56:$T$63,0,COLUMN()-2)+ROW($A$56:$A$63)/1000, 0)), "")</f>
        <v>HOLLANDS</v>
      </c>
      <c r="O67" s="1" t="str" cm="1">
        <f t="array" ref="O67">IFERROR(INDEX($A$56:$A$63, MATCH(LARGE(INDEX($C$56:$T$63,0,COLUMN()-2)+ROW($A$56:$A$63)/1000, ROW(M3)), INDEX($C$56:$T$63,0,COLUMN()-2)+ROW($A$56:$A$63)/1000, 0)), "")</f>
        <v>HOLLANDS</v>
      </c>
      <c r="P67" s="1" t="str" cm="1">
        <f t="array" ref="P67">IFERROR(INDEX($A$56:$A$63, MATCH(LARGE(INDEX($C$56:$T$63,0,COLUMN()-2)+ROW($A$56:$A$63)/1000, ROW(N3)), INDEX($C$56:$T$63,0,COLUMN()-2)+ROW($A$56:$A$63)/1000, 0)), "")</f>
        <v>HOLLANDS</v>
      </c>
      <c r="Q67" s="1" t="str" cm="1">
        <f t="array" ref="Q67">IFERROR(INDEX($A$56:$A$63, MATCH(LARGE(INDEX($C$56:$T$63,0,COLUMN()-2)+ROW($A$56:$A$63)/1000, ROW(O3)), INDEX($C$56:$T$63,0,COLUMN()-2)+ROW($A$56:$A$63)/1000, 0)), "")</f>
        <v>FINDLAY</v>
      </c>
      <c r="R67" s="1" t="str" cm="1">
        <f t="array" ref="R67">IFERROR(INDEX($A$56:$A$63, MATCH(LARGE(INDEX($C$56:$T$63,0,COLUMN()-2)+ROW($A$56:$A$63)/1000, ROW(P3)), INDEX($C$56:$T$63,0,COLUMN()-2)+ROW($A$56:$A$63)/1000, 0)), "")</f>
        <v>FINDLAY</v>
      </c>
      <c r="S67" s="1" t="str" cm="1">
        <f t="array" ref="S67">IFERROR(INDEX($A$56:$A$63, MATCH(LARGE(INDEX($C$56:$T$63,0,COLUMN()-2)+ROW($A$56:$A$63)/1000, ROW(Q3)), INDEX($C$56:$T$63,0,COLUMN()-2)+ROW($A$56:$A$63)/1000, 0)), "")</f>
        <v>FINDLAY</v>
      </c>
      <c r="T67" s="89" t="str" cm="1">
        <f t="array" ref="T67">IFERROR(INDEX($A$56:$A$63, MATCH(LARGE(INDEX($C$56:$T$63,0,COLUMN()-2)+ROW($A$56:$A$63)/1000, ROW(R3)), INDEX($C$56:$T$63,0,COLUMN()-2)+ROW($A$56:$A$63)/1000, 0)), "")</f>
        <v>REILLY</v>
      </c>
    </row>
    <row r="68" spans="3:20" x14ac:dyDescent="0.2">
      <c r="C68" s="127" t="str" cm="1">
        <f t="array" ref="C68">IFERROR(INDEX($A$56:$A$63, MATCH(LARGE(INDEX($C$56:$T$63,0,COLUMN()-2)+ROW($A$56:$A$63)/1000, ROW(A4)), INDEX($C$56:$T$63,0,COLUMN()-2)+ROW($A$56:$A$63)/1000, 0)), "")</f>
        <v>DONOVAN</v>
      </c>
      <c r="D68" s="1" t="str" cm="1">
        <f t="array" ref="D68">IFERROR(INDEX($A$56:$A$63, MATCH(LARGE(INDEX($C$56:$T$63,0,COLUMN()-2)+ROW($A$56:$A$63)/1000, ROW(B4)), INDEX($C$56:$T$63,0,COLUMN()-2)+ROW($A$56:$A$63)/1000, 0)), "")</f>
        <v>HOLLANDS</v>
      </c>
      <c r="E68" s="1" t="str" cm="1">
        <f t="array" ref="E68">IFERROR(INDEX($A$56:$A$63, MATCH(LARGE(INDEX($C$56:$T$63,0,COLUMN()-2)+ROW($A$56:$A$63)/1000, ROW(C4)), INDEX($C$56:$T$63,0,COLUMN()-2)+ROW($A$56:$A$63)/1000, 0)), "")</f>
        <v>FINDLAY</v>
      </c>
      <c r="F68" s="1" t="str" cm="1">
        <f t="array" ref="F68">IFERROR(INDEX($A$56:$A$63, MATCH(LARGE(INDEX($C$56:$T$63,0,COLUMN()-2)+ROW($A$56:$A$63)/1000, ROW(D4)), INDEX($C$56:$T$63,0,COLUMN()-2)+ROW($A$56:$A$63)/1000, 0)), "")</f>
        <v>HOLLANDS</v>
      </c>
      <c r="G68" s="1" t="str" cm="1">
        <f t="array" ref="G68">IFERROR(INDEX($A$56:$A$63, MATCH(LARGE(INDEX($C$56:$T$63,0,COLUMN()-2)+ROW($A$56:$A$63)/1000, ROW(E4)), INDEX($C$56:$T$63,0,COLUMN()-2)+ROW($A$56:$A$63)/1000, 0)), "")</f>
        <v>DONOVAN</v>
      </c>
      <c r="H68" s="1" t="str" cm="1">
        <f t="array" ref="H68">IFERROR(INDEX($A$56:$A$63, MATCH(LARGE(INDEX($C$56:$T$63,0,COLUMN()-2)+ROW($A$56:$A$63)/1000, ROW(F4)), INDEX($C$56:$T$63,0,COLUMN()-2)+ROW($A$56:$A$63)/1000, 0)), "")</f>
        <v>HOLLANDS</v>
      </c>
      <c r="I68" s="1" t="str" cm="1">
        <f t="array" ref="I68">IFERROR(INDEX($A$56:$A$63, MATCH(LARGE(INDEX($C$56:$T$63,0,COLUMN()-2)+ROW($A$56:$A$63)/1000, ROW(G4)), INDEX($C$56:$T$63,0,COLUMN()-2)+ROW($A$56:$A$63)/1000, 0)), "")</f>
        <v>DEY</v>
      </c>
      <c r="J68" s="1" t="str" cm="1">
        <f t="array" ref="J68">IFERROR(INDEX($A$56:$A$63, MATCH(LARGE(INDEX($C$56:$T$63,0,COLUMN()-2)+ROW($A$56:$A$63)/1000, ROW(H4)), INDEX($C$56:$T$63,0,COLUMN()-2)+ROW($A$56:$A$63)/1000, 0)), "")</f>
        <v>DEY</v>
      </c>
      <c r="K68" s="1" t="str" cm="1">
        <f t="array" ref="K68">IFERROR(INDEX($A$56:$A$63, MATCH(LARGE(INDEX($C$56:$T$63,0,COLUMN()-2)+ROW($A$56:$A$63)/1000, ROW(I4)), INDEX($C$56:$T$63,0,COLUMN()-2)+ROW($A$56:$A$63)/1000, 0)), "")</f>
        <v>BELLIS</v>
      </c>
      <c r="L68" s="1" t="str" cm="1">
        <f t="array" ref="L68">IFERROR(INDEX($A$56:$A$63, MATCH(LARGE(INDEX($C$56:$T$63,0,COLUMN()-2)+ROW($A$56:$A$63)/1000, ROW(J4)), INDEX($C$56:$T$63,0,COLUMN()-2)+ROW($A$56:$A$63)/1000, 0)), "")</f>
        <v>DONOVAN</v>
      </c>
      <c r="M68" s="1" t="str" cm="1">
        <f t="array" ref="M68">IFERROR(INDEX($A$56:$A$63, MATCH(LARGE(INDEX($C$56:$T$63,0,COLUMN()-2)+ROW($A$56:$A$63)/1000, ROW(K4)), INDEX($C$56:$T$63,0,COLUMN()-2)+ROW($A$56:$A$63)/1000, 0)), "")</f>
        <v>DONOVAN</v>
      </c>
      <c r="N68" s="1" t="str" cm="1">
        <f t="array" ref="N68">IFERROR(INDEX($A$56:$A$63, MATCH(LARGE(INDEX($C$56:$T$63,0,COLUMN()-2)+ROW($A$56:$A$63)/1000, ROW(L4)), INDEX($C$56:$T$63,0,COLUMN()-2)+ROW($A$56:$A$63)/1000, 0)), "")</f>
        <v>DONOVAN</v>
      </c>
      <c r="O68" s="1" t="str" cm="1">
        <f t="array" ref="O68">IFERROR(INDEX($A$56:$A$63, MATCH(LARGE(INDEX($C$56:$T$63,0,COLUMN()-2)+ROW($A$56:$A$63)/1000, ROW(M4)), INDEX($C$56:$T$63,0,COLUMN()-2)+ROW($A$56:$A$63)/1000, 0)), "")</f>
        <v>DONOVAN</v>
      </c>
      <c r="P68" s="1" t="str" cm="1">
        <f t="array" ref="P68">IFERROR(INDEX($A$56:$A$63, MATCH(LARGE(INDEX($C$56:$T$63,0,COLUMN()-2)+ROW($A$56:$A$63)/1000, ROW(N4)), INDEX($C$56:$T$63,0,COLUMN()-2)+ROW($A$56:$A$63)/1000, 0)), "")</f>
        <v>DONOVAN</v>
      </c>
      <c r="Q68" s="1" t="str" cm="1">
        <f t="array" ref="Q68">IFERROR(INDEX($A$56:$A$63, MATCH(LARGE(INDEX($C$56:$T$63,0,COLUMN()-2)+ROW($A$56:$A$63)/1000, ROW(O4)), INDEX($C$56:$T$63,0,COLUMN()-2)+ROW($A$56:$A$63)/1000, 0)), "")</f>
        <v>STONES</v>
      </c>
      <c r="R68" s="1" t="str" cm="1">
        <f t="array" ref="R68">IFERROR(INDEX($A$56:$A$63, MATCH(LARGE(INDEX($C$56:$T$63,0,COLUMN()-2)+ROW($A$56:$A$63)/1000, ROW(P4)), INDEX($C$56:$T$63,0,COLUMN()-2)+ROW($A$56:$A$63)/1000, 0)), "")</f>
        <v>STONES</v>
      </c>
      <c r="S68" s="1" t="str" cm="1">
        <f t="array" ref="S68">IFERROR(INDEX($A$56:$A$63, MATCH(LARGE(INDEX($C$56:$T$63,0,COLUMN()-2)+ROW($A$56:$A$63)/1000, ROW(Q4)), INDEX($C$56:$T$63,0,COLUMN()-2)+ROW($A$56:$A$63)/1000, 0)), "")</f>
        <v>STONES</v>
      </c>
      <c r="T68" s="89" t="str" cm="1">
        <f t="array" ref="T68">IFERROR(INDEX($A$56:$A$63, MATCH(LARGE(INDEX($C$56:$T$63,0,COLUMN()-2)+ROW($A$56:$A$63)/1000, ROW(R4)), INDEX($C$56:$T$63,0,COLUMN()-2)+ROW($A$56:$A$63)/1000, 0)), "")</f>
        <v>HOLLANDS</v>
      </c>
    </row>
    <row r="69" spans="3:20" x14ac:dyDescent="0.2">
      <c r="C69" s="127" t="str" cm="1">
        <f t="array" ref="C69">IFERROR(INDEX($A$56:$A$63, MATCH(LARGE(INDEX($C$56:$T$63,0,COLUMN()-2)+ROW($A$56:$A$63)/1000, ROW(A5)), INDEX($C$56:$T$63,0,COLUMN()-2)+ROW($A$56:$A$63)/1000, 0)), "")</f>
        <v>STONES</v>
      </c>
      <c r="D69" s="1" t="str" cm="1">
        <f t="array" ref="D69">IFERROR(INDEX($A$56:$A$63, MATCH(LARGE(INDEX($C$56:$T$63,0,COLUMN()-2)+ROW($A$56:$A$63)/1000, ROW(B5)), INDEX($C$56:$T$63,0,COLUMN()-2)+ROW($A$56:$A$63)/1000, 0)), "")</f>
        <v>STONES</v>
      </c>
      <c r="E69" s="1" t="str" cm="1">
        <f t="array" ref="E69">IFERROR(INDEX($A$56:$A$63, MATCH(LARGE(INDEX($C$56:$T$63,0,COLUMN()-2)+ROW($A$56:$A$63)/1000, ROW(C5)), INDEX($C$56:$T$63,0,COLUMN()-2)+ROW($A$56:$A$63)/1000, 0)), "")</f>
        <v>STONES</v>
      </c>
      <c r="F69" s="1" t="str" cm="1">
        <f t="array" ref="F69">IFERROR(INDEX($A$56:$A$63, MATCH(LARGE(INDEX($C$56:$T$63,0,COLUMN()-2)+ROW($A$56:$A$63)/1000, ROW(D5)), INDEX($C$56:$T$63,0,COLUMN()-2)+ROW($A$56:$A$63)/1000, 0)), "")</f>
        <v>STONES</v>
      </c>
      <c r="G69" s="1" t="str" cm="1">
        <f t="array" ref="G69">IFERROR(INDEX($A$56:$A$63, MATCH(LARGE(INDEX($C$56:$T$63,0,COLUMN()-2)+ROW($A$56:$A$63)/1000, ROW(E5)), INDEX($C$56:$T$63,0,COLUMN()-2)+ROW($A$56:$A$63)/1000, 0)), "")</f>
        <v>STONES</v>
      </c>
      <c r="H69" s="1" t="str" cm="1">
        <f t="array" ref="H69">IFERROR(INDEX($A$56:$A$63, MATCH(LARGE(INDEX($C$56:$T$63,0,COLUMN()-2)+ROW($A$56:$A$63)/1000, ROW(F5)), INDEX($C$56:$T$63,0,COLUMN()-2)+ROW($A$56:$A$63)/1000, 0)), "")</f>
        <v>DONOVAN</v>
      </c>
      <c r="I69" s="1" t="str" cm="1">
        <f t="array" ref="I69">IFERROR(INDEX($A$56:$A$63, MATCH(LARGE(INDEX($C$56:$T$63,0,COLUMN()-2)+ROW($A$56:$A$63)/1000, ROW(G5)), INDEX($C$56:$T$63,0,COLUMN()-2)+ROW($A$56:$A$63)/1000, 0)), "")</f>
        <v>HOLLANDS</v>
      </c>
      <c r="J69" s="1" t="str" cm="1">
        <f t="array" ref="J69">IFERROR(INDEX($A$56:$A$63, MATCH(LARGE(INDEX($C$56:$T$63,0,COLUMN()-2)+ROW($A$56:$A$63)/1000, ROW(H5)), INDEX($C$56:$T$63,0,COLUMN()-2)+ROW($A$56:$A$63)/1000, 0)), "")</f>
        <v>DONOVAN</v>
      </c>
      <c r="K69" s="1" t="str" cm="1">
        <f t="array" ref="K69">IFERROR(INDEX($A$56:$A$63, MATCH(LARGE(INDEX($C$56:$T$63,0,COLUMN()-2)+ROW($A$56:$A$63)/1000, ROW(I5)), INDEX($C$56:$T$63,0,COLUMN()-2)+ROW($A$56:$A$63)/1000, 0)), "")</f>
        <v>HOLLANDS</v>
      </c>
      <c r="L69" s="1" t="str" cm="1">
        <f t="array" ref="L69">IFERROR(INDEX($A$56:$A$63, MATCH(LARGE(INDEX($C$56:$T$63,0,COLUMN()-2)+ROW($A$56:$A$63)/1000, ROW(J5)), INDEX($C$56:$T$63,0,COLUMN()-2)+ROW($A$56:$A$63)/1000, 0)), "")</f>
        <v>STONES</v>
      </c>
      <c r="M69" s="1" t="str" cm="1">
        <f t="array" ref="M69">IFERROR(INDEX($A$56:$A$63, MATCH(LARGE(INDEX($C$56:$T$63,0,COLUMN()-2)+ROW($A$56:$A$63)/1000, ROW(K5)), INDEX($C$56:$T$63,0,COLUMN()-2)+ROW($A$56:$A$63)/1000, 0)), "")</f>
        <v>STONES</v>
      </c>
      <c r="N69" s="1" t="str" cm="1">
        <f t="array" ref="N69">IFERROR(INDEX($A$56:$A$63, MATCH(LARGE(INDEX($C$56:$T$63,0,COLUMN()-2)+ROW($A$56:$A$63)/1000, ROW(L5)), INDEX($C$56:$T$63,0,COLUMN()-2)+ROW($A$56:$A$63)/1000, 0)), "")</f>
        <v>STONES</v>
      </c>
      <c r="O69" s="1" t="str" cm="1">
        <f t="array" ref="O69">IFERROR(INDEX($A$56:$A$63, MATCH(LARGE(INDEX($C$56:$T$63,0,COLUMN()-2)+ROW($A$56:$A$63)/1000, ROW(M5)), INDEX($C$56:$T$63,0,COLUMN()-2)+ROW($A$56:$A$63)/1000, 0)), "")</f>
        <v>STONES</v>
      </c>
      <c r="P69" s="1" t="str" cm="1">
        <f t="array" ref="P69">IFERROR(INDEX($A$56:$A$63, MATCH(LARGE(INDEX($C$56:$T$63,0,COLUMN()-2)+ROW($A$56:$A$63)/1000, ROW(N5)), INDEX($C$56:$T$63,0,COLUMN()-2)+ROW($A$56:$A$63)/1000, 0)), "")</f>
        <v>STONES</v>
      </c>
      <c r="Q69" s="1" t="str" cm="1">
        <f t="array" ref="Q69">IFERROR(INDEX($A$56:$A$63, MATCH(LARGE(INDEX($C$56:$T$63,0,COLUMN()-2)+ROW($A$56:$A$63)/1000, ROW(O5)), INDEX($C$56:$T$63,0,COLUMN()-2)+ROW($A$56:$A$63)/1000, 0)), "")</f>
        <v>REILLY</v>
      </c>
      <c r="R69" s="1" t="str" cm="1">
        <f t="array" ref="R69">IFERROR(INDEX($A$56:$A$63, MATCH(LARGE(INDEX($C$56:$T$63,0,COLUMN()-2)+ROW($A$56:$A$63)/1000, ROW(P5)), INDEX($C$56:$T$63,0,COLUMN()-2)+ROW($A$56:$A$63)/1000, 0)), "")</f>
        <v>REILLY</v>
      </c>
      <c r="S69" s="1" t="str" cm="1">
        <f t="array" ref="S69">IFERROR(INDEX($A$56:$A$63, MATCH(LARGE(INDEX($C$56:$T$63,0,COLUMN()-2)+ROW($A$56:$A$63)/1000, ROW(Q5)), INDEX($C$56:$T$63,0,COLUMN()-2)+ROW($A$56:$A$63)/1000, 0)), "")</f>
        <v>REILLY</v>
      </c>
      <c r="T69" s="89" t="str" cm="1">
        <f t="array" ref="T69">IFERROR(INDEX($A$56:$A$63, MATCH(LARGE(INDEX($C$56:$T$63,0,COLUMN()-2)+ROW($A$56:$A$63)/1000, ROW(R5)), INDEX($C$56:$T$63,0,COLUMN()-2)+ROW($A$56:$A$63)/1000, 0)), "")</f>
        <v>FINDLAY</v>
      </c>
    </row>
    <row r="70" spans="3:20" x14ac:dyDescent="0.2">
      <c r="C70" s="127" t="str" cm="1">
        <f t="array" ref="C70">IFERROR(INDEX($A$56:$A$63, MATCH(LARGE(INDEX($C$56:$T$63,0,COLUMN()-2)+ROW($A$56:$A$63)/1000, ROW(A6)), INDEX($C$56:$T$63,0,COLUMN()-2)+ROW($A$56:$A$63)/1000, 0)), "")</f>
        <v>REILLY</v>
      </c>
      <c r="D70" s="1" t="str" cm="1">
        <f t="array" ref="D70">IFERROR(INDEX($A$56:$A$63, MATCH(LARGE(INDEX($C$56:$T$63,0,COLUMN()-2)+ROW($A$56:$A$63)/1000, ROW(B6)), INDEX($C$56:$T$63,0,COLUMN()-2)+ROW($A$56:$A$63)/1000, 0)), "")</f>
        <v>REILLY</v>
      </c>
      <c r="E70" s="1" t="str" cm="1">
        <f t="array" ref="E70">IFERROR(INDEX($A$56:$A$63, MATCH(LARGE(INDEX($C$56:$T$63,0,COLUMN()-2)+ROW($A$56:$A$63)/1000, ROW(C6)), INDEX($C$56:$T$63,0,COLUMN()-2)+ROW($A$56:$A$63)/1000, 0)), "")</f>
        <v>REILLY</v>
      </c>
      <c r="F70" s="1" t="str" cm="1">
        <f t="array" ref="F70">IFERROR(INDEX($A$56:$A$63, MATCH(LARGE(INDEX($C$56:$T$63,0,COLUMN()-2)+ROW($A$56:$A$63)/1000, ROW(D6)), INDEX($C$56:$T$63,0,COLUMN()-2)+ROW($A$56:$A$63)/1000, 0)), "")</f>
        <v>REILLY</v>
      </c>
      <c r="G70" s="1" t="str" cm="1">
        <f t="array" ref="G70">IFERROR(INDEX($A$56:$A$63, MATCH(LARGE(INDEX($C$56:$T$63,0,COLUMN()-2)+ROW($A$56:$A$63)/1000, ROW(E6)), INDEX($C$56:$T$63,0,COLUMN()-2)+ROW($A$56:$A$63)/1000, 0)), "")</f>
        <v>REILLY</v>
      </c>
      <c r="H70" s="1" t="str" cm="1">
        <f t="array" ref="H70">IFERROR(INDEX($A$56:$A$63, MATCH(LARGE(INDEX($C$56:$T$63,0,COLUMN()-2)+ROW($A$56:$A$63)/1000, ROW(F6)), INDEX($C$56:$T$63,0,COLUMN()-2)+ROW($A$56:$A$63)/1000, 0)), "")</f>
        <v>STONES</v>
      </c>
      <c r="I70" s="1" t="str" cm="1">
        <f t="array" ref="I70">IFERROR(INDEX($A$56:$A$63, MATCH(LARGE(INDEX($C$56:$T$63,0,COLUMN()-2)+ROW($A$56:$A$63)/1000, ROW(G6)), INDEX($C$56:$T$63,0,COLUMN()-2)+ROW($A$56:$A$63)/1000, 0)), "")</f>
        <v>DONOVAN</v>
      </c>
      <c r="J70" s="1" t="str" cm="1">
        <f t="array" ref="J70">IFERROR(INDEX($A$56:$A$63, MATCH(LARGE(INDEX($C$56:$T$63,0,COLUMN()-2)+ROW($A$56:$A$63)/1000, ROW(H6)), INDEX($C$56:$T$63,0,COLUMN()-2)+ROW($A$56:$A$63)/1000, 0)), "")</f>
        <v>STONES</v>
      </c>
      <c r="K70" s="1" t="str" cm="1">
        <f t="array" ref="K70">IFERROR(INDEX($A$56:$A$63, MATCH(LARGE(INDEX($C$56:$T$63,0,COLUMN()-2)+ROW($A$56:$A$63)/1000, ROW(I6)), INDEX($C$56:$T$63,0,COLUMN()-2)+ROW($A$56:$A$63)/1000, 0)), "")</f>
        <v>DONOVAN</v>
      </c>
      <c r="L70" s="1" t="str" cm="1">
        <f t="array" ref="L70">IFERROR(INDEX($A$56:$A$63, MATCH(LARGE(INDEX($C$56:$T$63,0,COLUMN()-2)+ROW($A$56:$A$63)/1000, ROW(J6)), INDEX($C$56:$T$63,0,COLUMN()-2)+ROW($A$56:$A$63)/1000, 0)), "")</f>
        <v>REILLY</v>
      </c>
      <c r="M70" s="1" t="str" cm="1">
        <f t="array" ref="M70">IFERROR(INDEX($A$56:$A$63, MATCH(LARGE(INDEX($C$56:$T$63,0,COLUMN()-2)+ROW($A$56:$A$63)/1000, ROW(K6)), INDEX($C$56:$T$63,0,COLUMN()-2)+ROW($A$56:$A$63)/1000, 0)), "")</f>
        <v>REILLY</v>
      </c>
      <c r="N70" s="1" t="str" cm="1">
        <f t="array" ref="N70">IFERROR(INDEX($A$56:$A$63, MATCH(LARGE(INDEX($C$56:$T$63,0,COLUMN()-2)+ROW($A$56:$A$63)/1000, ROW(L6)), INDEX($C$56:$T$63,0,COLUMN()-2)+ROW($A$56:$A$63)/1000, 0)), "")</f>
        <v>REILLY</v>
      </c>
      <c r="O70" s="1" t="str" cm="1">
        <f t="array" ref="O70">IFERROR(INDEX($A$56:$A$63, MATCH(LARGE(INDEX($C$56:$T$63,0,COLUMN()-2)+ROW($A$56:$A$63)/1000, ROW(M6)), INDEX($C$56:$T$63,0,COLUMN()-2)+ROW($A$56:$A$63)/1000, 0)), "")</f>
        <v>REILLY</v>
      </c>
      <c r="P70" s="1" t="str" cm="1">
        <f t="array" ref="P70">IFERROR(INDEX($A$56:$A$63, MATCH(LARGE(INDEX($C$56:$T$63,0,COLUMN()-2)+ROW($A$56:$A$63)/1000, ROW(N6)), INDEX($C$56:$T$63,0,COLUMN()-2)+ROW($A$56:$A$63)/1000, 0)), "")</f>
        <v>REILLY</v>
      </c>
      <c r="Q70" s="1" t="str" cm="1">
        <f t="array" ref="Q70">IFERROR(INDEX($A$56:$A$63, MATCH(LARGE(INDEX($C$56:$T$63,0,COLUMN()-2)+ROW($A$56:$A$63)/1000, ROW(O6)), INDEX($C$56:$T$63,0,COLUMN()-2)+ROW($A$56:$A$63)/1000, 0)), "")</f>
        <v>HOLLANDS</v>
      </c>
      <c r="R70" s="1" t="str" cm="1">
        <f t="array" ref="R70">IFERROR(INDEX($A$56:$A$63, MATCH(LARGE(INDEX($C$56:$T$63,0,COLUMN()-2)+ROW($A$56:$A$63)/1000, ROW(P6)), INDEX($C$56:$T$63,0,COLUMN()-2)+ROW($A$56:$A$63)/1000, 0)), "")</f>
        <v>HOLLANDS</v>
      </c>
      <c r="S70" s="1" t="str" cm="1">
        <f t="array" ref="S70">IFERROR(INDEX($A$56:$A$63, MATCH(LARGE(INDEX($C$56:$T$63,0,COLUMN()-2)+ROW($A$56:$A$63)/1000, ROW(Q6)), INDEX($C$56:$T$63,0,COLUMN()-2)+ROW($A$56:$A$63)/1000, 0)), "")</f>
        <v>HOLLANDS</v>
      </c>
      <c r="T70" s="89" t="str" cm="1">
        <f t="array" ref="T70">IFERROR(INDEX($A$56:$A$63, MATCH(LARGE(INDEX($C$56:$T$63,0,COLUMN()-2)+ROW($A$56:$A$63)/1000, ROW(R6)), INDEX($C$56:$T$63,0,COLUMN()-2)+ROW($A$56:$A$63)/1000, 0)), "")</f>
        <v>DONOVAN</v>
      </c>
    </row>
    <row r="71" spans="3:20" x14ac:dyDescent="0.2">
      <c r="C71" s="127" t="str" cm="1">
        <f t="array" ref="C71">IFERROR(INDEX($A$56:$A$63, MATCH(LARGE(INDEX($C$56:$T$63,0,COLUMN()-2)+ROW($A$56:$A$63)/1000, ROW(A7)), INDEX($C$56:$T$63,0,COLUMN()-2)+ROW($A$56:$A$63)/1000, 0)), "")</f>
        <v>FINDLAY</v>
      </c>
      <c r="D71" s="1" t="str" cm="1">
        <f t="array" ref="D71">IFERROR(INDEX($A$56:$A$63, MATCH(LARGE(INDEX($C$56:$T$63,0,COLUMN()-2)+ROW($A$56:$A$63)/1000, ROW(B7)), INDEX($C$56:$T$63,0,COLUMN()-2)+ROW($A$56:$A$63)/1000, 0)), "")</f>
        <v>FINDLAY</v>
      </c>
      <c r="E71" s="1" t="str" cm="1">
        <f t="array" ref="E71">IFERROR(INDEX($A$56:$A$63, MATCH(LARGE(INDEX($C$56:$T$63,0,COLUMN()-2)+ROW($A$56:$A$63)/1000, ROW(C7)), INDEX($C$56:$T$63,0,COLUMN()-2)+ROW($A$56:$A$63)/1000, 0)), "")</f>
        <v>HOLLANDS</v>
      </c>
      <c r="F71" s="1" t="str" cm="1">
        <f t="array" ref="F71">IFERROR(INDEX($A$56:$A$63, MATCH(LARGE(INDEX($C$56:$T$63,0,COLUMN()-2)+ROW($A$56:$A$63)/1000, ROW(D7)), INDEX($C$56:$T$63,0,COLUMN()-2)+ROW($A$56:$A$63)/1000, 0)), "")</f>
        <v>FINDLAY</v>
      </c>
      <c r="G71" s="1" t="str" cm="1">
        <f t="array" ref="G71">IFERROR(INDEX($A$56:$A$63, MATCH(LARGE(INDEX($C$56:$T$63,0,COLUMN()-2)+ROW($A$56:$A$63)/1000, ROW(E7)), INDEX($C$56:$T$63,0,COLUMN()-2)+ROW($A$56:$A$63)/1000, 0)), "")</f>
        <v>FINDLAY</v>
      </c>
      <c r="H71" s="1" t="str" cm="1">
        <f t="array" ref="H71">IFERROR(INDEX($A$56:$A$63, MATCH(LARGE(INDEX($C$56:$T$63,0,COLUMN()-2)+ROW($A$56:$A$63)/1000, ROW(F7)), INDEX($C$56:$T$63,0,COLUMN()-2)+ROW($A$56:$A$63)/1000, 0)), "")</f>
        <v>FINDLAY</v>
      </c>
      <c r="I71" s="1" t="str" cm="1">
        <f t="array" ref="I71">IFERROR(INDEX($A$56:$A$63, MATCH(LARGE(INDEX($C$56:$T$63,0,COLUMN()-2)+ROW($A$56:$A$63)/1000, ROW(G7)), INDEX($C$56:$T$63,0,COLUMN()-2)+ROW($A$56:$A$63)/1000, 0)), "")</f>
        <v>STONES</v>
      </c>
      <c r="J71" s="1" t="str" cm="1">
        <f t="array" ref="J71">IFERROR(INDEX($A$56:$A$63, MATCH(LARGE(INDEX($C$56:$T$63,0,COLUMN()-2)+ROW($A$56:$A$63)/1000, ROW(H7)), INDEX($C$56:$T$63,0,COLUMN()-2)+ROW($A$56:$A$63)/1000, 0)), "")</f>
        <v>REILLY</v>
      </c>
      <c r="K71" s="1" t="str" cm="1">
        <f t="array" ref="K71">IFERROR(INDEX($A$56:$A$63, MATCH(LARGE(INDEX($C$56:$T$63,0,COLUMN()-2)+ROW($A$56:$A$63)/1000, ROW(I7)), INDEX($C$56:$T$63,0,COLUMN()-2)+ROW($A$56:$A$63)/1000, 0)), "")</f>
        <v>REILLY</v>
      </c>
      <c r="L71" s="1" t="str" cm="1">
        <f t="array" ref="L71">IFERROR(INDEX($A$56:$A$63, MATCH(LARGE(INDEX($C$56:$T$63,0,COLUMN()-2)+ROW($A$56:$A$63)/1000, ROW(J7)), INDEX($C$56:$T$63,0,COLUMN()-2)+ROW($A$56:$A$63)/1000, 0)), "")</f>
        <v>DEY</v>
      </c>
      <c r="M71" s="1" t="str" cm="1">
        <f t="array" ref="M71">IFERROR(INDEX($A$56:$A$63, MATCH(LARGE(INDEX($C$56:$T$63,0,COLUMN()-2)+ROW($A$56:$A$63)/1000, ROW(K7)), INDEX($C$56:$T$63,0,COLUMN()-2)+ROW($A$56:$A$63)/1000, 0)), "")</f>
        <v>DEY</v>
      </c>
      <c r="N71" s="1" t="str" cm="1">
        <f t="array" ref="N71">IFERROR(INDEX($A$56:$A$63, MATCH(LARGE(INDEX($C$56:$T$63,0,COLUMN()-2)+ROW($A$56:$A$63)/1000, ROW(L7)), INDEX($C$56:$T$63,0,COLUMN()-2)+ROW($A$56:$A$63)/1000, 0)), "")</f>
        <v>DEY</v>
      </c>
      <c r="O71" s="1" t="str" cm="1">
        <f t="array" ref="O71">IFERROR(INDEX($A$56:$A$63, MATCH(LARGE(INDEX($C$56:$T$63,0,COLUMN()-2)+ROW($A$56:$A$63)/1000, ROW(M7)), INDEX($C$56:$T$63,0,COLUMN()-2)+ROW($A$56:$A$63)/1000, 0)), "")</f>
        <v>DEY</v>
      </c>
      <c r="P71" s="1" t="str" cm="1">
        <f t="array" ref="P71">IFERROR(INDEX($A$56:$A$63, MATCH(LARGE(INDEX($C$56:$T$63,0,COLUMN()-2)+ROW($A$56:$A$63)/1000, ROW(N7)), INDEX($C$56:$T$63,0,COLUMN()-2)+ROW($A$56:$A$63)/1000, 0)), "")</f>
        <v>DEY</v>
      </c>
      <c r="Q71" s="1" t="str" cm="1">
        <f t="array" ref="Q71">IFERROR(INDEX($A$56:$A$63, MATCH(LARGE(INDEX($C$56:$T$63,0,COLUMN()-2)+ROW($A$56:$A$63)/1000, ROW(O7)), INDEX($C$56:$T$63,0,COLUMN()-2)+ROW($A$56:$A$63)/1000, 0)), "")</f>
        <v>DEY</v>
      </c>
      <c r="R71" s="1" t="str" cm="1">
        <f t="array" ref="R71">IFERROR(INDEX($A$56:$A$63, MATCH(LARGE(INDEX($C$56:$T$63,0,COLUMN()-2)+ROW($A$56:$A$63)/1000, ROW(P7)), INDEX($C$56:$T$63,0,COLUMN()-2)+ROW($A$56:$A$63)/1000, 0)), "")</f>
        <v>DEY</v>
      </c>
      <c r="S71" s="1" t="str" cm="1">
        <f t="array" ref="S71">IFERROR(INDEX($A$56:$A$63, MATCH(LARGE(INDEX($C$56:$T$63,0,COLUMN()-2)+ROW($A$56:$A$63)/1000, ROW(Q7)), INDEX($C$56:$T$63,0,COLUMN()-2)+ROW($A$56:$A$63)/1000, 0)), "")</f>
        <v>DEY</v>
      </c>
      <c r="T71" s="89" t="str" cm="1">
        <f t="array" ref="T71">IFERROR(INDEX($A$56:$A$63, MATCH(LARGE(INDEX($C$56:$T$63,0,COLUMN()-2)+ROW($A$56:$A$63)/1000, ROW(R7)), INDEX($C$56:$T$63,0,COLUMN()-2)+ROW($A$56:$A$63)/1000, 0)), "")</f>
        <v>DEY</v>
      </c>
    </row>
    <row r="72" spans="3:20" x14ac:dyDescent="0.2">
      <c r="C72" s="128" t="str" cm="1">
        <f t="array" ref="C72">IFERROR(INDEX($A$56:$A$63, MATCH(LARGE(INDEX($C$56:$T$63,0,COLUMN()-2)+ROW($A$56:$A$63)/1000, ROW(A8)), INDEX($C$56:$T$63,0,COLUMN()-2)+ROW($A$56:$A$63)/1000, 0)), "")</f>
        <v>BELLIS</v>
      </c>
      <c r="D72" s="90" t="str" cm="1">
        <f t="array" ref="D72">IFERROR(INDEX($A$56:$A$63, MATCH(LARGE(INDEX($C$56:$T$63,0,COLUMN()-2)+ROW($A$56:$A$63)/1000, ROW(B8)), INDEX($C$56:$T$63,0,COLUMN()-2)+ROW($A$56:$A$63)/1000, 0)), "")</f>
        <v>DONOVAN</v>
      </c>
      <c r="E72" s="90" t="str" cm="1">
        <f t="array" ref="E72">IFERROR(INDEX($A$56:$A$63, MATCH(LARGE(INDEX($C$56:$T$63,0,COLUMN()-2)+ROW($A$56:$A$63)/1000, ROW(C8)), INDEX($C$56:$T$63,0,COLUMN()-2)+ROW($A$56:$A$63)/1000, 0)), "")</f>
        <v>BELLIS</v>
      </c>
      <c r="F72" s="90" t="str" cm="1">
        <f t="array" ref="F72">IFERROR(INDEX($A$56:$A$63, MATCH(LARGE(INDEX($C$56:$T$63,0,COLUMN()-2)+ROW($A$56:$A$63)/1000, ROW(D8)), INDEX($C$56:$T$63,0,COLUMN()-2)+ROW($A$56:$A$63)/1000, 0)), "")</f>
        <v>BELLIS</v>
      </c>
      <c r="G72" s="90" t="str" cm="1">
        <f t="array" ref="G72">IFERROR(INDEX($A$56:$A$63, MATCH(LARGE(INDEX($C$56:$T$63,0,COLUMN()-2)+ROW($A$56:$A$63)/1000, ROW(E8)), INDEX($C$56:$T$63,0,COLUMN()-2)+ROW($A$56:$A$63)/1000, 0)), "")</f>
        <v>BELLIS</v>
      </c>
      <c r="H72" s="90" t="str" cm="1">
        <f t="array" ref="H72">IFERROR(INDEX($A$56:$A$63, MATCH(LARGE(INDEX($C$56:$T$63,0,COLUMN()-2)+ROW($A$56:$A$63)/1000, ROW(F8)), INDEX($C$56:$T$63,0,COLUMN()-2)+ROW($A$56:$A$63)/1000, 0)), "")</f>
        <v>BELLIS</v>
      </c>
      <c r="I72" s="90" t="str" cm="1">
        <f t="array" ref="I72">IFERROR(INDEX($A$56:$A$63, MATCH(LARGE(INDEX($C$56:$T$63,0,COLUMN()-2)+ROW($A$56:$A$63)/1000, ROW(G8)), INDEX($C$56:$T$63,0,COLUMN()-2)+ROW($A$56:$A$63)/1000, 0)), "")</f>
        <v>BELLIS</v>
      </c>
      <c r="J72" s="90" t="str" cm="1">
        <f t="array" ref="J72">IFERROR(INDEX($A$56:$A$63, MATCH(LARGE(INDEX($C$56:$T$63,0,COLUMN()-2)+ROW($A$56:$A$63)/1000, ROW(H8)), INDEX($C$56:$T$63,0,COLUMN()-2)+ROW($A$56:$A$63)/1000, 0)), "")</f>
        <v>BELLIS</v>
      </c>
      <c r="K72" s="90" t="str" cm="1">
        <f t="array" ref="K72">IFERROR(INDEX($A$56:$A$63, MATCH(LARGE(INDEX($C$56:$T$63,0,COLUMN()-2)+ROW($A$56:$A$63)/1000, ROW(I8)), INDEX($C$56:$T$63,0,COLUMN()-2)+ROW($A$56:$A$63)/1000, 0)), "")</f>
        <v>DEY</v>
      </c>
      <c r="L72" s="90" t="str" cm="1">
        <f t="array" ref="L72">IFERROR(INDEX($A$56:$A$63, MATCH(LARGE(INDEX($C$56:$T$63,0,COLUMN()-2)+ROW($A$56:$A$63)/1000, ROW(J8)), INDEX($C$56:$T$63,0,COLUMN()-2)+ROW($A$56:$A$63)/1000, 0)), "")</f>
        <v>BELLIS</v>
      </c>
      <c r="M72" s="90" t="str" cm="1">
        <f t="array" ref="M72">IFERROR(INDEX($A$56:$A$63, MATCH(LARGE(INDEX($C$56:$T$63,0,COLUMN()-2)+ROW($A$56:$A$63)/1000, ROW(K8)), INDEX($C$56:$T$63,0,COLUMN()-2)+ROW($A$56:$A$63)/1000, 0)), "")</f>
        <v>BELLIS</v>
      </c>
      <c r="N72" s="90" t="str" cm="1">
        <f t="array" ref="N72">IFERROR(INDEX($A$56:$A$63, MATCH(LARGE(INDEX($C$56:$T$63,0,COLUMN()-2)+ROW($A$56:$A$63)/1000, ROW(L8)), INDEX($C$56:$T$63,0,COLUMN()-2)+ROW($A$56:$A$63)/1000, 0)), "")</f>
        <v>BELLIS</v>
      </c>
      <c r="O72" s="90" t="str" cm="1">
        <f t="array" ref="O72">IFERROR(INDEX($A$56:$A$63, MATCH(LARGE(INDEX($C$56:$T$63,0,COLUMN()-2)+ROW($A$56:$A$63)/1000, ROW(M8)), INDEX($C$56:$T$63,0,COLUMN()-2)+ROW($A$56:$A$63)/1000, 0)), "")</f>
        <v>BELLIS</v>
      </c>
      <c r="P72" s="90" t="str" cm="1">
        <f t="array" ref="P72">IFERROR(INDEX($A$56:$A$63, MATCH(LARGE(INDEX($C$56:$T$63,0,COLUMN()-2)+ROW($A$56:$A$63)/1000, ROW(N8)), INDEX($C$56:$T$63,0,COLUMN()-2)+ROW($A$56:$A$63)/1000, 0)), "")</f>
        <v>BELLIS</v>
      </c>
      <c r="Q72" s="90" t="str" cm="1">
        <f t="array" ref="Q72">IFERROR(INDEX($A$56:$A$63, MATCH(LARGE(INDEX($C$56:$T$63,0,COLUMN()-2)+ROW($A$56:$A$63)/1000, ROW(O8)), INDEX($C$56:$T$63,0,COLUMN()-2)+ROW($A$56:$A$63)/1000, 0)), "")</f>
        <v>BELLIS</v>
      </c>
      <c r="R72" s="90" t="str" cm="1">
        <f t="array" ref="R72">IFERROR(INDEX($A$56:$A$63, MATCH(LARGE(INDEX($C$56:$T$63,0,COLUMN()-2)+ROW($A$56:$A$63)/1000, ROW(P8)), INDEX($C$56:$T$63,0,COLUMN()-2)+ROW($A$56:$A$63)/1000, 0)), "")</f>
        <v>BELLIS</v>
      </c>
      <c r="S72" s="90" t="str" cm="1">
        <f t="array" ref="S72">IFERROR(INDEX($A$56:$A$63, MATCH(LARGE(INDEX($C$56:$T$63,0,COLUMN()-2)+ROW($A$56:$A$63)/1000, ROW(Q8)), INDEX($C$56:$T$63,0,COLUMN()-2)+ROW($A$56:$A$63)/1000, 0)), "")</f>
        <v>BELLIS</v>
      </c>
      <c r="T72" s="91" t="str" cm="1">
        <f t="array" ref="T72">IFERROR(INDEX($A$56:$A$63, MATCH(LARGE(INDEX($C$56:$T$63,0,COLUMN()-2)+ROW($A$56:$A$63)/1000, ROW(R8)), INDEX($C$56:$T$63,0,COLUMN()-2)+ROW($A$56:$A$63)/1000, 0)), "")</f>
        <v>BELLIS</v>
      </c>
    </row>
    <row r="73" spans="3:20" x14ac:dyDescent="0.2">
      <c r="C73" s="1"/>
    </row>
    <row r="74" spans="3:20" x14ac:dyDescent="0.2">
      <c r="C74" s="1"/>
    </row>
  </sheetData>
  <mergeCells count="1">
    <mergeCell ref="Y1:AG2"/>
  </mergeCells>
  <conditionalFormatting sqref="C65:T72">
    <cfRule type="expression" dxfId="3" priority="1">
      <formula>VLOOKUP(C65, $A$56:$T$72, COLUMN(C$1), FALSE)=1</formula>
    </cfRule>
    <cfRule type="expression" dxfId="2" priority="2">
      <formula>VLOOKUP(C65, $A$56:$T$72, COLUMN(C$1), FALSE)=2</formula>
    </cfRule>
    <cfRule type="expression" dxfId="1" priority="3">
      <formula>VLOOKUP(C65, $A$56:$T$72, COLUMN(C$1), FALSE)=3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19C0-8A1E-2C47-B7F6-D22DEF41DE87}">
  <dimension ref="A2:W81"/>
  <sheetViews>
    <sheetView zoomScale="68" workbookViewId="0">
      <selection activeCell="J61" sqref="J61"/>
    </sheetView>
  </sheetViews>
  <sheetFormatPr baseColWidth="10" defaultColWidth="8.83203125" defaultRowHeight="15" x14ac:dyDescent="0.2"/>
  <cols>
    <col min="1" max="1" width="31.83203125" customWidth="1"/>
    <col min="2" max="2" width="10.1640625" customWidth="1"/>
    <col min="7" max="7" width="10" customWidth="1"/>
  </cols>
  <sheetData>
    <row r="2" spans="1:4" x14ac:dyDescent="0.2">
      <c r="A2" t="s">
        <v>84</v>
      </c>
    </row>
    <row r="3" spans="1:4" x14ac:dyDescent="0.2">
      <c r="A3" s="80"/>
      <c r="B3" s="81" t="s">
        <v>28</v>
      </c>
      <c r="C3" s="81"/>
      <c r="D3" s="82"/>
    </row>
    <row r="4" spans="1:4" x14ac:dyDescent="0.2">
      <c r="A4" s="83"/>
      <c r="D4" s="84"/>
    </row>
    <row r="5" spans="1:4" x14ac:dyDescent="0.2">
      <c r="A5" s="83"/>
      <c r="D5" s="84"/>
    </row>
    <row r="6" spans="1:4" x14ac:dyDescent="0.2">
      <c r="A6" s="111" t="s">
        <v>30</v>
      </c>
      <c r="B6" t="s">
        <v>29</v>
      </c>
      <c r="C6" t="s">
        <v>31</v>
      </c>
      <c r="D6" s="84" t="s">
        <v>32</v>
      </c>
    </row>
    <row r="7" spans="1:4" x14ac:dyDescent="0.2">
      <c r="A7" s="83">
        <f>'RND 6 NET'!AD14</f>
        <v>1</v>
      </c>
      <c r="B7" t="str">
        <f>'RND 6 NET'!AE14</f>
        <v>STONES</v>
      </c>
      <c r="C7">
        <f>'RND 6 NET'!AF14</f>
        <v>-18</v>
      </c>
      <c r="D7" s="84">
        <f>'RND 6 NET'!AG14</f>
        <v>24</v>
      </c>
    </row>
    <row r="8" spans="1:4" x14ac:dyDescent="0.2">
      <c r="A8" s="83">
        <f>'RND 6 NET'!AD15</f>
        <v>2</v>
      </c>
      <c r="B8" t="str">
        <f>'RND 6 NET'!AE15</f>
        <v>REILLY</v>
      </c>
      <c r="C8">
        <f>'RND 6 NET'!AF15</f>
        <v>-17</v>
      </c>
      <c r="D8" s="84">
        <f>'RND 6 NET'!AG15</f>
        <v>21</v>
      </c>
    </row>
    <row r="9" spans="1:4" x14ac:dyDescent="0.2">
      <c r="A9" s="83">
        <f>'RND 6 NET'!AD16</f>
        <v>3</v>
      </c>
      <c r="B9" t="str">
        <f>'RND 6 NET'!AE16</f>
        <v>LAING</v>
      </c>
      <c r="C9">
        <f>'RND 6 NET'!AF16</f>
        <v>-16</v>
      </c>
      <c r="D9" s="84">
        <f>'RND 6 NET'!AG16</f>
        <v>18</v>
      </c>
    </row>
    <row r="10" spans="1:4" x14ac:dyDescent="0.2">
      <c r="A10" s="83">
        <f>'RND 6 NET'!AD17</f>
        <v>4</v>
      </c>
      <c r="B10" t="str">
        <f>'RND 6 NET'!AE17</f>
        <v>HOLLANDS</v>
      </c>
      <c r="C10">
        <f>'RND 6 NET'!AF17</f>
        <v>-15</v>
      </c>
      <c r="D10" s="84">
        <f>'RND 6 NET'!AG17</f>
        <v>15</v>
      </c>
    </row>
    <row r="11" spans="1:4" x14ac:dyDescent="0.2">
      <c r="A11" s="83">
        <f>'RND 6 NET'!AD18</f>
        <v>5</v>
      </c>
      <c r="B11" t="str">
        <f>'RND 6 NET'!AE18</f>
        <v>FINDLAY</v>
      </c>
      <c r="C11">
        <f>'RND 6 NET'!AF18</f>
        <v>-14</v>
      </c>
      <c r="D11" s="84">
        <f>'RND 6 NET'!AG18</f>
        <v>12</v>
      </c>
    </row>
    <row r="12" spans="1:4" x14ac:dyDescent="0.2">
      <c r="A12" s="83">
        <f>'RND 6 NET'!AD19</f>
        <v>6</v>
      </c>
      <c r="B12" t="str">
        <f>'RND 6 NET'!AE19</f>
        <v>DONOVAN</v>
      </c>
      <c r="C12">
        <f>'RND 6 NET'!AF19</f>
        <v>-13</v>
      </c>
      <c r="D12" s="84">
        <f>'RND 6 NET'!AG19</f>
        <v>9</v>
      </c>
    </row>
    <row r="13" spans="1:4" x14ac:dyDescent="0.2">
      <c r="A13" s="83">
        <f>'RND 6 NET'!AD20</f>
        <v>7</v>
      </c>
      <c r="B13" t="str">
        <f>'RND 6 NET'!AE20</f>
        <v>DEY</v>
      </c>
      <c r="C13">
        <f>'RND 6 NET'!AF20</f>
        <v>-12</v>
      </c>
      <c r="D13" s="84">
        <f>'RND 6 NET'!AG20</f>
        <v>6</v>
      </c>
    </row>
    <row r="14" spans="1:4" x14ac:dyDescent="0.2">
      <c r="A14" s="83">
        <f>'RND 6 NET'!AD21</f>
        <v>8</v>
      </c>
      <c r="B14" t="str">
        <f>'RND 6 NET'!AE21</f>
        <v>BELLIS</v>
      </c>
      <c r="C14">
        <f>'RND 6 NET'!AF21</f>
        <v>-11</v>
      </c>
      <c r="D14" s="84">
        <f>'RND 6 NET'!AG21</f>
        <v>3</v>
      </c>
    </row>
    <row r="15" spans="1:4" x14ac:dyDescent="0.2">
      <c r="A15" s="85"/>
      <c r="B15" s="86"/>
      <c r="C15" s="86"/>
      <c r="D15" s="87"/>
    </row>
    <row r="21" spans="1:23" x14ac:dyDescent="0.2">
      <c r="A21" t="s">
        <v>14</v>
      </c>
    </row>
    <row r="22" spans="1:23" x14ac:dyDescent="0.2">
      <c r="A22" s="80" t="s">
        <v>1</v>
      </c>
      <c r="B22" s="77" t="s">
        <v>15</v>
      </c>
      <c r="D22" s="96" t="s">
        <v>25</v>
      </c>
      <c r="E22" s="92">
        <v>1</v>
      </c>
      <c r="F22" s="92">
        <v>2</v>
      </c>
      <c r="G22" s="92">
        <v>3</v>
      </c>
      <c r="H22" s="92">
        <v>4</v>
      </c>
      <c r="I22" s="92">
        <v>5</v>
      </c>
      <c r="J22" s="92">
        <v>6</v>
      </c>
      <c r="K22" s="92">
        <v>7</v>
      </c>
      <c r="L22" s="92">
        <v>8</v>
      </c>
      <c r="M22" s="92">
        <v>9</v>
      </c>
      <c r="N22" s="92">
        <v>10</v>
      </c>
      <c r="O22" s="92">
        <v>11</v>
      </c>
      <c r="P22" s="92">
        <v>12</v>
      </c>
      <c r="Q22" s="92">
        <v>13</v>
      </c>
      <c r="R22" s="92">
        <v>14</v>
      </c>
      <c r="S22" s="92">
        <v>15</v>
      </c>
      <c r="T22" s="92">
        <v>16</v>
      </c>
      <c r="U22" s="92">
        <v>17</v>
      </c>
      <c r="V22" s="92">
        <v>18</v>
      </c>
      <c r="W22" s="88" t="s">
        <v>2</v>
      </c>
    </row>
    <row r="23" spans="1:23" ht="19" x14ac:dyDescent="0.25">
      <c r="A23" s="83"/>
      <c r="B23" s="78"/>
      <c r="D23" s="94" t="s">
        <v>23</v>
      </c>
      <c r="E23" s="93">
        <f>'RND 1 STBL'!C5</f>
        <v>4</v>
      </c>
      <c r="F23" s="93">
        <f>'RND 1 STBL'!D5</f>
        <v>3</v>
      </c>
      <c r="G23" s="93">
        <f>'RND 1 STBL'!E5</f>
        <v>4</v>
      </c>
      <c r="H23" s="93">
        <f>'RND 1 STBL'!F5</f>
        <v>4</v>
      </c>
      <c r="I23" s="93">
        <f>'RND 1 STBL'!G5</f>
        <v>4</v>
      </c>
      <c r="J23" s="93">
        <f>'RND 1 STBL'!H5</f>
        <v>4</v>
      </c>
      <c r="K23" s="93">
        <f>'RND 1 STBL'!I5</f>
        <v>4</v>
      </c>
      <c r="L23" s="93">
        <f>'RND 1 STBL'!J5</f>
        <v>3</v>
      </c>
      <c r="M23" s="93">
        <f>'RND 1 STBL'!K5</f>
        <v>5</v>
      </c>
      <c r="N23" s="93">
        <f>'RND 1 STBL'!L5</f>
        <v>5</v>
      </c>
      <c r="O23" s="93">
        <f>'RND 1 STBL'!M5</f>
        <v>4</v>
      </c>
      <c r="P23" s="93">
        <f>'RND 1 STBL'!N5</f>
        <v>3</v>
      </c>
      <c r="Q23" s="93">
        <f>'RND 1 STBL'!O5</f>
        <v>5</v>
      </c>
      <c r="R23" s="93">
        <f>'RND 1 STBL'!P5</f>
        <v>4</v>
      </c>
      <c r="S23" s="93">
        <f>'RND 1 STBL'!Q5</f>
        <v>5</v>
      </c>
      <c r="T23" s="93">
        <f>'RND 1 STBL'!R5</f>
        <v>4</v>
      </c>
      <c r="U23" s="93">
        <f>'RND 1 STBL'!S5</f>
        <v>3</v>
      </c>
      <c r="V23" s="93">
        <f>'RND 1 STBL'!T5</f>
        <v>4</v>
      </c>
      <c r="W23" s="88"/>
    </row>
    <row r="24" spans="1:23" x14ac:dyDescent="0.2">
      <c r="A24" s="83"/>
      <c r="B24" s="78"/>
      <c r="D24" s="94" t="s">
        <v>24</v>
      </c>
      <c r="E24" s="95">
        <f>'RND 1 STBL'!C6</f>
        <v>9</v>
      </c>
      <c r="F24" s="95">
        <f>'RND 1 STBL'!D6</f>
        <v>13</v>
      </c>
      <c r="G24" s="95">
        <f>'RND 1 STBL'!E6</f>
        <v>5</v>
      </c>
      <c r="H24" s="95">
        <f>'RND 1 STBL'!F6</f>
        <v>1</v>
      </c>
      <c r="I24" s="95">
        <f>'RND 1 STBL'!G6</f>
        <v>11</v>
      </c>
      <c r="J24" s="95">
        <f>'RND 1 STBL'!H6</f>
        <v>15</v>
      </c>
      <c r="K24" s="95">
        <f>'RND 1 STBL'!I6</f>
        <v>7</v>
      </c>
      <c r="L24" s="95">
        <f>'RND 1 STBL'!J6</f>
        <v>17</v>
      </c>
      <c r="M24" s="95">
        <f>'RND 1 STBL'!K6</f>
        <v>3</v>
      </c>
      <c r="N24" s="95">
        <f>'RND 1 STBL'!L6</f>
        <v>4</v>
      </c>
      <c r="O24" s="95">
        <f>'RND 1 STBL'!M6</f>
        <v>14</v>
      </c>
      <c r="P24" s="95">
        <f>'RND 1 STBL'!N6</f>
        <v>16</v>
      </c>
      <c r="Q24" s="95">
        <f>'RND 1 STBL'!O6</f>
        <v>10</v>
      </c>
      <c r="R24" s="95">
        <f>'RND 1 STBL'!P6</f>
        <v>6</v>
      </c>
      <c r="S24" s="95">
        <f>'RND 1 STBL'!Q6</f>
        <v>8</v>
      </c>
      <c r="T24" s="95">
        <f>'RND 1 STBL'!R6</f>
        <v>12</v>
      </c>
      <c r="U24" s="95">
        <f>'RND 1 STBL'!S6</f>
        <v>18</v>
      </c>
      <c r="V24" s="95">
        <f>'RND 1 STBL'!T6</f>
        <v>2</v>
      </c>
      <c r="W24" s="88"/>
    </row>
    <row r="25" spans="1:23" x14ac:dyDescent="0.2">
      <c r="B25" s="78"/>
      <c r="D25" s="8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89"/>
    </row>
    <row r="26" spans="1:23" x14ac:dyDescent="0.2">
      <c r="A26" s="83" t="str">
        <f>'RND 6 NET'!A7</f>
        <v>BELLIS</v>
      </c>
      <c r="B26" s="78">
        <f>'RND 6 NET'!B7</f>
        <v>18</v>
      </c>
      <c r="D26" s="83"/>
      <c r="E26" s="1">
        <f>'RND 6 NET'!C7</f>
        <v>7</v>
      </c>
      <c r="F26" s="1">
        <f>'RND 6 NET'!D7</f>
        <v>0</v>
      </c>
      <c r="G26" s="1">
        <f>'RND 6 NET'!E7</f>
        <v>0</v>
      </c>
      <c r="H26" s="1">
        <f>'RND 6 NET'!F7</f>
        <v>0</v>
      </c>
      <c r="I26" s="1">
        <f>'RND 6 NET'!G7</f>
        <v>0</v>
      </c>
      <c r="J26" s="1">
        <f>'RND 6 NET'!H7</f>
        <v>0</v>
      </c>
      <c r="K26" s="1">
        <f>'RND 6 NET'!I7</f>
        <v>0</v>
      </c>
      <c r="L26" s="1">
        <f>'RND 6 NET'!J7</f>
        <v>0</v>
      </c>
      <c r="M26" s="1">
        <f>'RND 6 NET'!K7</f>
        <v>0</v>
      </c>
      <c r="N26" s="1">
        <f>'RND 6 NET'!L7</f>
        <v>0</v>
      </c>
      <c r="O26" s="1">
        <f>'RND 6 NET'!M7</f>
        <v>0</v>
      </c>
      <c r="P26" s="1">
        <f>'RND 6 NET'!N7</f>
        <v>0</v>
      </c>
      <c r="Q26" s="1">
        <f>'RND 6 NET'!O7</f>
        <v>0</v>
      </c>
      <c r="R26" s="1">
        <f>'RND 6 NET'!P7</f>
        <v>0</v>
      </c>
      <c r="S26" s="1">
        <f>'RND 6 NET'!Q7</f>
        <v>0</v>
      </c>
      <c r="T26" s="1">
        <f>'RND 6 NET'!R7</f>
        <v>0</v>
      </c>
      <c r="U26" s="1">
        <f>'RND 6 NET'!S7</f>
        <v>0</v>
      </c>
      <c r="V26" s="1">
        <f>'RND 6 NET'!T7</f>
        <v>0</v>
      </c>
      <c r="W26" s="89">
        <f>'RND 6 NET'!U7</f>
        <v>7</v>
      </c>
    </row>
    <row r="27" spans="1:23" x14ac:dyDescent="0.2">
      <c r="A27" s="83" t="str">
        <f>'RND 6 NET'!A8</f>
        <v>DEY</v>
      </c>
      <c r="B27" s="78">
        <f>'RND 6 NET'!B8</f>
        <v>18</v>
      </c>
      <c r="D27" s="83"/>
      <c r="E27" s="1">
        <f>'RND 6 NET'!C8</f>
        <v>0</v>
      </c>
      <c r="F27" s="1">
        <f>'RND 6 NET'!D8</f>
        <v>6</v>
      </c>
      <c r="G27" s="1">
        <f>'RND 6 NET'!E8</f>
        <v>0</v>
      </c>
      <c r="H27" s="1">
        <f>'RND 6 NET'!F8</f>
        <v>0</v>
      </c>
      <c r="I27" s="1">
        <f>'RND 6 NET'!G8</f>
        <v>0</v>
      </c>
      <c r="J27" s="1">
        <f>'RND 6 NET'!H8</f>
        <v>0</v>
      </c>
      <c r="K27" s="1">
        <f>'RND 6 NET'!I8</f>
        <v>0</v>
      </c>
      <c r="L27" s="1">
        <f>'RND 6 NET'!J8</f>
        <v>0</v>
      </c>
      <c r="M27" s="1">
        <f>'RND 6 NET'!K8</f>
        <v>0</v>
      </c>
      <c r="N27" s="1">
        <f>'RND 6 NET'!L8</f>
        <v>0</v>
      </c>
      <c r="O27" s="1">
        <f>'RND 6 NET'!M8</f>
        <v>0</v>
      </c>
      <c r="P27" s="1">
        <f>'RND 6 NET'!N8</f>
        <v>0</v>
      </c>
      <c r="Q27" s="1">
        <f>'RND 6 NET'!O8</f>
        <v>0</v>
      </c>
      <c r="R27" s="1">
        <f>'RND 6 NET'!P8</f>
        <v>0</v>
      </c>
      <c r="S27" s="1">
        <f>'RND 6 NET'!Q8</f>
        <v>0</v>
      </c>
      <c r="T27" s="1">
        <f>'RND 6 NET'!R8</f>
        <v>0</v>
      </c>
      <c r="U27" s="1">
        <f>'RND 6 NET'!S8</f>
        <v>0</v>
      </c>
      <c r="V27" s="1">
        <f>'RND 6 NET'!T8</f>
        <v>0</v>
      </c>
      <c r="W27" s="89">
        <f>'RND 6 NET'!U8</f>
        <v>6</v>
      </c>
    </row>
    <row r="28" spans="1:23" x14ac:dyDescent="0.2">
      <c r="A28" s="83" t="str">
        <f>'RND 6 NET'!A9</f>
        <v>DONOVAN</v>
      </c>
      <c r="B28" s="78">
        <f>'RND 6 NET'!B9</f>
        <v>18</v>
      </c>
      <c r="D28" s="83"/>
      <c r="E28" s="1">
        <f>'RND 6 NET'!C9</f>
        <v>0</v>
      </c>
      <c r="F28" s="1">
        <f>'RND 6 NET'!D9</f>
        <v>0</v>
      </c>
      <c r="G28" s="1">
        <f>'RND 6 NET'!E9</f>
        <v>5</v>
      </c>
      <c r="H28" s="1">
        <f>'RND 6 NET'!F9</f>
        <v>0</v>
      </c>
      <c r="I28" s="1">
        <f>'RND 6 NET'!G9</f>
        <v>0</v>
      </c>
      <c r="J28" s="1">
        <f>'RND 6 NET'!H9</f>
        <v>0</v>
      </c>
      <c r="K28" s="1">
        <f>'RND 6 NET'!I9</f>
        <v>0</v>
      </c>
      <c r="L28" s="1">
        <f>'RND 6 NET'!J9</f>
        <v>0</v>
      </c>
      <c r="M28" s="1">
        <f>'RND 6 NET'!K9</f>
        <v>0</v>
      </c>
      <c r="N28" s="1">
        <f>'RND 6 NET'!L9</f>
        <v>0</v>
      </c>
      <c r="O28" s="1">
        <f>'RND 6 NET'!M9</f>
        <v>0</v>
      </c>
      <c r="P28" s="1">
        <f>'RND 6 NET'!N9</f>
        <v>0</v>
      </c>
      <c r="Q28" s="1">
        <f>'RND 6 NET'!O9</f>
        <v>0</v>
      </c>
      <c r="R28" s="1">
        <f>'RND 6 NET'!P9</f>
        <v>0</v>
      </c>
      <c r="S28" s="1">
        <f>'RND 6 NET'!Q9</f>
        <v>0</v>
      </c>
      <c r="T28" s="1">
        <f>'RND 6 NET'!R9</f>
        <v>0</v>
      </c>
      <c r="U28" s="1">
        <f>'RND 6 NET'!S9</f>
        <v>0</v>
      </c>
      <c r="V28" s="1">
        <f>'RND 6 NET'!T9</f>
        <v>0</v>
      </c>
      <c r="W28" s="89">
        <f>'RND 6 NET'!U9</f>
        <v>5</v>
      </c>
    </row>
    <row r="29" spans="1:23" x14ac:dyDescent="0.2">
      <c r="A29" s="83" t="str">
        <f>'RND 6 NET'!A10</f>
        <v>FINDLAY</v>
      </c>
      <c r="B29" s="78">
        <f>'RND 6 NET'!B10</f>
        <v>18</v>
      </c>
      <c r="D29" s="83"/>
      <c r="E29" s="1">
        <f>'RND 6 NET'!C10</f>
        <v>0</v>
      </c>
      <c r="F29" s="1">
        <f>'RND 6 NET'!D10</f>
        <v>0</v>
      </c>
      <c r="G29" s="1">
        <f>'RND 6 NET'!E10</f>
        <v>0</v>
      </c>
      <c r="H29" s="1">
        <f>'RND 6 NET'!F10</f>
        <v>4</v>
      </c>
      <c r="I29" s="1">
        <f>'RND 6 NET'!G10</f>
        <v>0</v>
      </c>
      <c r="J29" s="1">
        <f>'RND 6 NET'!H10</f>
        <v>0</v>
      </c>
      <c r="K29" s="1">
        <f>'RND 6 NET'!I10</f>
        <v>0</v>
      </c>
      <c r="L29" s="1">
        <f>'RND 6 NET'!J10</f>
        <v>0</v>
      </c>
      <c r="M29" s="1">
        <f>'RND 6 NET'!K10</f>
        <v>0</v>
      </c>
      <c r="N29" s="1">
        <f>'RND 6 NET'!L10</f>
        <v>0</v>
      </c>
      <c r="O29" s="1">
        <f>'RND 6 NET'!M10</f>
        <v>0</v>
      </c>
      <c r="P29" s="1">
        <f>'RND 6 NET'!N10</f>
        <v>0</v>
      </c>
      <c r="Q29" s="1">
        <f>'RND 6 NET'!O10</f>
        <v>0</v>
      </c>
      <c r="R29" s="1">
        <f>'RND 6 NET'!P10</f>
        <v>0</v>
      </c>
      <c r="S29" s="1">
        <f>'RND 6 NET'!Q10</f>
        <v>0</v>
      </c>
      <c r="T29" s="1">
        <f>'RND 6 NET'!R10</f>
        <v>0</v>
      </c>
      <c r="U29" s="1">
        <f>'RND 6 NET'!S10</f>
        <v>0</v>
      </c>
      <c r="V29" s="1">
        <f>'RND 6 NET'!T10</f>
        <v>0</v>
      </c>
      <c r="W29" s="89">
        <f>'RND 6 NET'!U10</f>
        <v>4</v>
      </c>
    </row>
    <row r="30" spans="1:23" x14ac:dyDescent="0.2">
      <c r="A30" s="83" t="str">
        <f>'RND 6 NET'!A11</f>
        <v>HOLLANDS</v>
      </c>
      <c r="B30" s="78">
        <f>'RND 6 NET'!B11</f>
        <v>18</v>
      </c>
      <c r="D30" s="83"/>
      <c r="E30" s="1">
        <f>'RND 6 NET'!C11</f>
        <v>0</v>
      </c>
      <c r="F30" s="1">
        <f>'RND 6 NET'!D11</f>
        <v>0</v>
      </c>
      <c r="G30" s="1">
        <f>'RND 6 NET'!E11</f>
        <v>0</v>
      </c>
      <c r="H30" s="1">
        <f>'RND 6 NET'!F11</f>
        <v>0</v>
      </c>
      <c r="I30" s="1">
        <f>'RND 6 NET'!G11</f>
        <v>3</v>
      </c>
      <c r="J30" s="1">
        <f>'RND 6 NET'!H11</f>
        <v>0</v>
      </c>
      <c r="K30" s="1">
        <f>'RND 6 NET'!I11</f>
        <v>0</v>
      </c>
      <c r="L30" s="1">
        <f>'RND 6 NET'!J11</f>
        <v>0</v>
      </c>
      <c r="M30" s="1">
        <f>'RND 6 NET'!K11</f>
        <v>0</v>
      </c>
      <c r="N30" s="1">
        <f>'RND 6 NET'!L11</f>
        <v>0</v>
      </c>
      <c r="O30" s="1">
        <f>'RND 6 NET'!M11</f>
        <v>0</v>
      </c>
      <c r="P30" s="1">
        <f>'RND 6 NET'!N11</f>
        <v>0</v>
      </c>
      <c r="Q30" s="1">
        <f>'RND 6 NET'!O11</f>
        <v>0</v>
      </c>
      <c r="R30" s="1">
        <f>'RND 6 NET'!P11</f>
        <v>0</v>
      </c>
      <c r="S30" s="1">
        <f>'RND 6 NET'!Q11</f>
        <v>0</v>
      </c>
      <c r="T30" s="1">
        <f>'RND 6 NET'!R11</f>
        <v>0</v>
      </c>
      <c r="U30" s="1">
        <f>'RND 6 NET'!S11</f>
        <v>0</v>
      </c>
      <c r="V30" s="1">
        <f>'RND 6 NET'!T11</f>
        <v>0</v>
      </c>
      <c r="W30" s="89">
        <f>'RND 6 NET'!U11</f>
        <v>3</v>
      </c>
    </row>
    <row r="31" spans="1:23" x14ac:dyDescent="0.2">
      <c r="A31" s="83" t="str">
        <f>'RND 6 NET'!A12</f>
        <v>LAING</v>
      </c>
      <c r="B31" s="78">
        <f>'RND 6 NET'!B12</f>
        <v>18</v>
      </c>
      <c r="D31" s="83"/>
      <c r="E31" s="1">
        <f>'RND 6 NET'!C12</f>
        <v>0</v>
      </c>
      <c r="F31" s="1">
        <f>'RND 6 NET'!D12</f>
        <v>0</v>
      </c>
      <c r="G31" s="1">
        <f>'RND 6 NET'!E12</f>
        <v>0</v>
      </c>
      <c r="H31" s="1">
        <f>'RND 6 NET'!F12</f>
        <v>0</v>
      </c>
      <c r="I31" s="1">
        <f>'RND 6 NET'!G12</f>
        <v>0</v>
      </c>
      <c r="J31" s="1">
        <f>'RND 6 NET'!H12</f>
        <v>2</v>
      </c>
      <c r="K31" s="1">
        <f>'RND 6 NET'!I12</f>
        <v>0</v>
      </c>
      <c r="L31" s="1">
        <f>'RND 6 NET'!J12</f>
        <v>0</v>
      </c>
      <c r="M31" s="1">
        <f>'RND 6 NET'!K12</f>
        <v>0</v>
      </c>
      <c r="N31" s="1">
        <f>'RND 6 NET'!L12</f>
        <v>0</v>
      </c>
      <c r="O31" s="1">
        <f>'RND 6 NET'!M12</f>
        <v>0</v>
      </c>
      <c r="P31" s="1">
        <f>'RND 6 NET'!N12</f>
        <v>0</v>
      </c>
      <c r="Q31" s="1">
        <f>'RND 6 NET'!O12</f>
        <v>0</v>
      </c>
      <c r="R31" s="1">
        <f>'RND 6 NET'!P12</f>
        <v>0</v>
      </c>
      <c r="S31" s="1">
        <f>'RND 6 NET'!Q12</f>
        <v>0</v>
      </c>
      <c r="T31" s="1">
        <f>'RND 6 NET'!R12</f>
        <v>0</v>
      </c>
      <c r="U31" s="1">
        <f>'RND 6 NET'!S12</f>
        <v>0</v>
      </c>
      <c r="V31" s="1">
        <f>'RND 6 NET'!T12</f>
        <v>0</v>
      </c>
      <c r="W31" s="89">
        <f>'RND 6 NET'!U12</f>
        <v>2</v>
      </c>
    </row>
    <row r="32" spans="1:23" x14ac:dyDescent="0.2">
      <c r="A32" s="83" t="str">
        <f>'RND 6 NET'!A13</f>
        <v>REILLY</v>
      </c>
      <c r="B32" s="78">
        <f>'RND 6 NET'!B13</f>
        <v>18</v>
      </c>
      <c r="D32" s="83"/>
      <c r="E32" s="1">
        <f>'RND 6 NET'!C13</f>
        <v>0</v>
      </c>
      <c r="F32" s="1">
        <f>'RND 6 NET'!D13</f>
        <v>0</v>
      </c>
      <c r="G32" s="1">
        <f>'RND 6 NET'!E13</f>
        <v>0</v>
      </c>
      <c r="H32" s="1">
        <f>'RND 6 NET'!F13</f>
        <v>0</v>
      </c>
      <c r="I32" s="1">
        <f>'RND 6 NET'!G13</f>
        <v>0</v>
      </c>
      <c r="J32" s="1">
        <f>'RND 6 NET'!H13</f>
        <v>0</v>
      </c>
      <c r="K32" s="1">
        <f>'RND 6 NET'!I13</f>
        <v>1</v>
      </c>
      <c r="L32" s="1">
        <f>'RND 6 NET'!J13</f>
        <v>0</v>
      </c>
      <c r="M32" s="1">
        <f>'RND 6 NET'!K13</f>
        <v>0</v>
      </c>
      <c r="N32" s="1">
        <f>'RND 6 NET'!L13</f>
        <v>0</v>
      </c>
      <c r="O32" s="1">
        <f>'RND 6 NET'!M13</f>
        <v>0</v>
      </c>
      <c r="P32" s="1">
        <f>'RND 6 NET'!N13</f>
        <v>0</v>
      </c>
      <c r="Q32" s="1">
        <f>'RND 6 NET'!O13</f>
        <v>0</v>
      </c>
      <c r="R32" s="1">
        <f>'RND 6 NET'!P13</f>
        <v>0</v>
      </c>
      <c r="S32" s="1">
        <f>'RND 6 NET'!Q13</f>
        <v>0</v>
      </c>
      <c r="T32" s="1">
        <f>'RND 6 NET'!R13</f>
        <v>0</v>
      </c>
      <c r="U32" s="1">
        <f>'RND 6 NET'!S13</f>
        <v>0</v>
      </c>
      <c r="V32" s="1">
        <f>'RND 6 NET'!T13</f>
        <v>0</v>
      </c>
      <c r="W32" s="89">
        <f>'RND 6 NET'!U13</f>
        <v>1</v>
      </c>
    </row>
    <row r="33" spans="1:23" x14ac:dyDescent="0.2">
      <c r="A33" s="85" t="str">
        <f>'RND 6 NET'!A14</f>
        <v>STONES</v>
      </c>
      <c r="B33" s="79">
        <f>'RND 6 NET'!B14</f>
        <v>18</v>
      </c>
      <c r="D33" s="85"/>
      <c r="E33" s="90">
        <f>'RND 6 NET'!C14</f>
        <v>0</v>
      </c>
      <c r="F33" s="90">
        <f>'RND 6 NET'!D14</f>
        <v>0</v>
      </c>
      <c r="G33" s="90">
        <f>'RND 6 NET'!E14</f>
        <v>0</v>
      </c>
      <c r="H33" s="90">
        <f>'RND 6 NET'!F14</f>
        <v>0</v>
      </c>
      <c r="I33" s="90">
        <f>'RND 6 NET'!G14</f>
        <v>0</v>
      </c>
      <c r="J33" s="90">
        <f>'RND 6 NET'!H14</f>
        <v>0</v>
      </c>
      <c r="K33" s="90">
        <f>'RND 6 NET'!I14</f>
        <v>0</v>
      </c>
      <c r="L33" s="90">
        <f>'RND 6 NET'!J14</f>
        <v>0</v>
      </c>
      <c r="M33" s="90">
        <f>'RND 6 NET'!K14</f>
        <v>0</v>
      </c>
      <c r="N33" s="90">
        <f>'RND 6 NET'!L14</f>
        <v>0</v>
      </c>
      <c r="O33" s="90">
        <f>'RND 6 NET'!M14</f>
        <v>0</v>
      </c>
      <c r="P33" s="90">
        <f>'RND 6 NET'!N14</f>
        <v>0</v>
      </c>
      <c r="Q33" s="90">
        <f>'RND 6 NET'!O14</f>
        <v>0</v>
      </c>
      <c r="R33" s="90">
        <f>'RND 6 NET'!P14</f>
        <v>0</v>
      </c>
      <c r="S33" s="90">
        <f>'RND 6 NET'!Q14</f>
        <v>0</v>
      </c>
      <c r="T33" s="90">
        <f>'RND 6 NET'!R14</f>
        <v>0</v>
      </c>
      <c r="U33" s="90">
        <f>'RND 6 NET'!S14</f>
        <v>0</v>
      </c>
      <c r="V33" s="90">
        <f>'RND 6 NET'!T14</f>
        <v>0</v>
      </c>
      <c r="W33" s="91">
        <f>'RND 6 NET'!U14</f>
        <v>0</v>
      </c>
    </row>
    <row r="37" spans="1:23" x14ac:dyDescent="0.2">
      <c r="A37" t="s">
        <v>85</v>
      </c>
    </row>
    <row r="38" spans="1:23" x14ac:dyDescent="0.2">
      <c r="A38" s="80" t="s">
        <v>1</v>
      </c>
      <c r="B38" s="77" t="s">
        <v>15</v>
      </c>
      <c r="D38" s="96" t="s">
        <v>25</v>
      </c>
      <c r="E38" s="92">
        <v>1</v>
      </c>
      <c r="F38" s="92">
        <v>2</v>
      </c>
      <c r="G38" s="92">
        <v>3</v>
      </c>
      <c r="H38" s="92">
        <v>4</v>
      </c>
      <c r="I38" s="92">
        <v>5</v>
      </c>
      <c r="J38" s="92">
        <v>6</v>
      </c>
      <c r="K38" s="92">
        <v>7</v>
      </c>
      <c r="L38" s="92">
        <v>8</v>
      </c>
      <c r="M38" s="92">
        <v>9</v>
      </c>
      <c r="N38" s="92">
        <v>10</v>
      </c>
      <c r="O38" s="92">
        <v>11</v>
      </c>
      <c r="P38" s="92">
        <v>12</v>
      </c>
      <c r="Q38" s="92">
        <v>13</v>
      </c>
      <c r="R38" s="92">
        <v>14</v>
      </c>
      <c r="S38" s="92">
        <v>15</v>
      </c>
      <c r="T38" s="92">
        <v>16</v>
      </c>
      <c r="U38" s="92">
        <v>17</v>
      </c>
      <c r="V38" s="92">
        <v>18</v>
      </c>
      <c r="W38" s="88" t="s">
        <v>2</v>
      </c>
    </row>
    <row r="39" spans="1:23" ht="19" x14ac:dyDescent="0.25">
      <c r="A39" s="83"/>
      <c r="B39" s="78"/>
      <c r="D39" s="94" t="s">
        <v>23</v>
      </c>
      <c r="E39" s="93">
        <f>E23</f>
        <v>4</v>
      </c>
      <c r="F39" s="93">
        <f t="shared" ref="F39:V40" si="0">F23</f>
        <v>3</v>
      </c>
      <c r="G39" s="93">
        <f t="shared" si="0"/>
        <v>4</v>
      </c>
      <c r="H39" s="93">
        <f t="shared" si="0"/>
        <v>4</v>
      </c>
      <c r="I39" s="93">
        <f t="shared" si="0"/>
        <v>4</v>
      </c>
      <c r="J39" s="93">
        <f t="shared" si="0"/>
        <v>4</v>
      </c>
      <c r="K39" s="93">
        <f t="shared" si="0"/>
        <v>4</v>
      </c>
      <c r="L39" s="93">
        <f t="shared" si="0"/>
        <v>3</v>
      </c>
      <c r="M39" s="93">
        <f t="shared" si="0"/>
        <v>5</v>
      </c>
      <c r="N39" s="93">
        <f t="shared" si="0"/>
        <v>5</v>
      </c>
      <c r="O39" s="93">
        <f t="shared" si="0"/>
        <v>4</v>
      </c>
      <c r="P39" s="93">
        <f t="shared" si="0"/>
        <v>3</v>
      </c>
      <c r="Q39" s="93">
        <f t="shared" si="0"/>
        <v>5</v>
      </c>
      <c r="R39" s="93">
        <f t="shared" si="0"/>
        <v>4</v>
      </c>
      <c r="S39" s="93">
        <f t="shared" si="0"/>
        <v>5</v>
      </c>
      <c r="T39" s="93">
        <f t="shared" si="0"/>
        <v>4</v>
      </c>
      <c r="U39" s="93">
        <f t="shared" si="0"/>
        <v>3</v>
      </c>
      <c r="V39" s="93">
        <f t="shared" si="0"/>
        <v>4</v>
      </c>
      <c r="W39" s="88"/>
    </row>
    <row r="40" spans="1:23" x14ac:dyDescent="0.2">
      <c r="A40" s="83"/>
      <c r="B40" s="78"/>
      <c r="D40" s="94" t="s">
        <v>24</v>
      </c>
      <c r="E40" s="95">
        <f>E24</f>
        <v>9</v>
      </c>
      <c r="F40" s="95">
        <f t="shared" si="0"/>
        <v>13</v>
      </c>
      <c r="G40" s="95">
        <f t="shared" si="0"/>
        <v>5</v>
      </c>
      <c r="H40" s="95">
        <f t="shared" si="0"/>
        <v>1</v>
      </c>
      <c r="I40" s="95">
        <f t="shared" si="0"/>
        <v>11</v>
      </c>
      <c r="J40" s="95">
        <f t="shared" si="0"/>
        <v>15</v>
      </c>
      <c r="K40" s="95">
        <f t="shared" si="0"/>
        <v>7</v>
      </c>
      <c r="L40" s="95">
        <f t="shared" si="0"/>
        <v>17</v>
      </c>
      <c r="M40" s="95">
        <f t="shared" si="0"/>
        <v>3</v>
      </c>
      <c r="N40" s="95">
        <f t="shared" si="0"/>
        <v>4</v>
      </c>
      <c r="O40" s="95">
        <f t="shared" si="0"/>
        <v>14</v>
      </c>
      <c r="P40" s="95">
        <f t="shared" si="0"/>
        <v>16</v>
      </c>
      <c r="Q40" s="95">
        <f t="shared" si="0"/>
        <v>10</v>
      </c>
      <c r="R40" s="95">
        <f t="shared" si="0"/>
        <v>6</v>
      </c>
      <c r="S40" s="95">
        <f t="shared" si="0"/>
        <v>8</v>
      </c>
      <c r="T40" s="95">
        <f t="shared" si="0"/>
        <v>12</v>
      </c>
      <c r="U40" s="95">
        <f t="shared" si="0"/>
        <v>18</v>
      </c>
      <c r="V40" s="95">
        <f t="shared" si="0"/>
        <v>2</v>
      </c>
      <c r="W40" s="88"/>
    </row>
    <row r="41" spans="1:23" x14ac:dyDescent="0.2">
      <c r="B41" s="78"/>
      <c r="D41" s="8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89"/>
    </row>
    <row r="42" spans="1:23" x14ac:dyDescent="0.2">
      <c r="A42" s="83" t="str">
        <f>A26</f>
        <v>BELLIS</v>
      </c>
      <c r="B42" s="78">
        <f>B26</f>
        <v>18</v>
      </c>
      <c r="D42" s="83"/>
      <c r="E42" s="1">
        <f>'RND 6 NET'!C31</f>
        <v>6</v>
      </c>
      <c r="F42" s="1">
        <f>'RND 6 NET'!D31</f>
        <v>-1</v>
      </c>
      <c r="G42" s="1">
        <f>'RND 6 NET'!E31</f>
        <v>-1</v>
      </c>
      <c r="H42" s="1">
        <f>'RND 6 NET'!F31</f>
        <v>-1</v>
      </c>
      <c r="I42" s="1">
        <f>'RND 6 NET'!G31</f>
        <v>-1</v>
      </c>
      <c r="J42" s="1">
        <f>'RND 6 NET'!H31</f>
        <v>-1</v>
      </c>
      <c r="K42" s="1">
        <f>'RND 6 NET'!I31</f>
        <v>-1</v>
      </c>
      <c r="L42" s="1">
        <f>'RND 6 NET'!J31</f>
        <v>-1</v>
      </c>
      <c r="M42" s="1">
        <f>'RND 6 NET'!K31</f>
        <v>-1</v>
      </c>
      <c r="N42" s="1">
        <f>'RND 6 NET'!L31</f>
        <v>-1</v>
      </c>
      <c r="O42" s="1">
        <f>'RND 6 NET'!M31</f>
        <v>-1</v>
      </c>
      <c r="P42" s="1">
        <f>'RND 6 NET'!N31</f>
        <v>-1</v>
      </c>
      <c r="Q42" s="1">
        <f>'RND 6 NET'!O31</f>
        <v>-1</v>
      </c>
      <c r="R42" s="1">
        <f>'RND 6 NET'!P31</f>
        <v>-1</v>
      </c>
      <c r="S42" s="1">
        <f>'RND 6 NET'!Q31</f>
        <v>-1</v>
      </c>
      <c r="T42" s="1">
        <f>'RND 6 NET'!R31</f>
        <v>-1</v>
      </c>
      <c r="U42" s="1">
        <f>'RND 6 NET'!S31</f>
        <v>-1</v>
      </c>
      <c r="V42" s="1">
        <f>'RND 6 NET'!T31</f>
        <v>-1</v>
      </c>
      <c r="W42" s="89">
        <f>'RND 6 NET'!U31</f>
        <v>-11</v>
      </c>
    </row>
    <row r="43" spans="1:23" x14ac:dyDescent="0.2">
      <c r="A43" s="83" t="str">
        <f t="shared" ref="A43:B49" si="1">A27</f>
        <v>DEY</v>
      </c>
      <c r="B43" s="78">
        <f t="shared" si="1"/>
        <v>18</v>
      </c>
      <c r="D43" s="83"/>
      <c r="E43" s="1">
        <f>'RND 6 NET'!C32</f>
        <v>-1</v>
      </c>
      <c r="F43" s="1">
        <f>'RND 6 NET'!D32</f>
        <v>5</v>
      </c>
      <c r="G43" s="1">
        <f>'RND 6 NET'!E32</f>
        <v>-1</v>
      </c>
      <c r="H43" s="1">
        <f>'RND 6 NET'!F32</f>
        <v>-1</v>
      </c>
      <c r="I43" s="1">
        <f>'RND 6 NET'!G32</f>
        <v>-1</v>
      </c>
      <c r="J43" s="1">
        <f>'RND 6 NET'!H32</f>
        <v>-1</v>
      </c>
      <c r="K43" s="1">
        <f>'RND 6 NET'!I32</f>
        <v>-1</v>
      </c>
      <c r="L43" s="1">
        <f>'RND 6 NET'!J32</f>
        <v>-1</v>
      </c>
      <c r="M43" s="1">
        <f>'RND 6 NET'!K32</f>
        <v>-1</v>
      </c>
      <c r="N43" s="1">
        <f>'RND 6 NET'!L32</f>
        <v>-1</v>
      </c>
      <c r="O43" s="1">
        <f>'RND 6 NET'!M32</f>
        <v>-1</v>
      </c>
      <c r="P43" s="1">
        <f>'RND 6 NET'!N32</f>
        <v>-1</v>
      </c>
      <c r="Q43" s="1">
        <f>'RND 6 NET'!O32</f>
        <v>-1</v>
      </c>
      <c r="R43" s="1">
        <f>'RND 6 NET'!P32</f>
        <v>-1</v>
      </c>
      <c r="S43" s="1">
        <f>'RND 6 NET'!Q32</f>
        <v>-1</v>
      </c>
      <c r="T43" s="1">
        <f>'RND 6 NET'!R32</f>
        <v>-1</v>
      </c>
      <c r="U43" s="1">
        <f>'RND 6 NET'!S32</f>
        <v>-1</v>
      </c>
      <c r="V43" s="1">
        <f>'RND 6 NET'!T32</f>
        <v>-1</v>
      </c>
      <c r="W43" s="89">
        <f>'RND 6 NET'!U32</f>
        <v>-12</v>
      </c>
    </row>
    <row r="44" spans="1:23" x14ac:dyDescent="0.2">
      <c r="A44" s="83" t="str">
        <f t="shared" si="1"/>
        <v>DONOVAN</v>
      </c>
      <c r="B44" s="78">
        <f t="shared" si="1"/>
        <v>18</v>
      </c>
      <c r="D44" s="83"/>
      <c r="E44" s="1">
        <f>'RND 6 NET'!C33</f>
        <v>-1</v>
      </c>
      <c r="F44" s="1">
        <f>'RND 6 NET'!D33</f>
        <v>-1</v>
      </c>
      <c r="G44" s="1">
        <f>'RND 6 NET'!E33</f>
        <v>4</v>
      </c>
      <c r="H44" s="1">
        <f>'RND 6 NET'!F33</f>
        <v>-1</v>
      </c>
      <c r="I44" s="1">
        <f>'RND 6 NET'!G33</f>
        <v>-1</v>
      </c>
      <c r="J44" s="1">
        <f>'RND 6 NET'!H33</f>
        <v>-1</v>
      </c>
      <c r="K44" s="1">
        <f>'RND 6 NET'!I33</f>
        <v>-1</v>
      </c>
      <c r="L44" s="1">
        <f>'RND 6 NET'!J33</f>
        <v>-1</v>
      </c>
      <c r="M44" s="1">
        <f>'RND 6 NET'!K33</f>
        <v>-1</v>
      </c>
      <c r="N44" s="1">
        <f>'RND 6 NET'!L33</f>
        <v>-1</v>
      </c>
      <c r="O44" s="1">
        <f>'RND 6 NET'!M33</f>
        <v>-1</v>
      </c>
      <c r="P44" s="1">
        <f>'RND 6 NET'!N33</f>
        <v>-1</v>
      </c>
      <c r="Q44" s="1">
        <f>'RND 6 NET'!O33</f>
        <v>-1</v>
      </c>
      <c r="R44" s="1">
        <f>'RND 6 NET'!P33</f>
        <v>-1</v>
      </c>
      <c r="S44" s="1">
        <f>'RND 6 NET'!Q33</f>
        <v>-1</v>
      </c>
      <c r="T44" s="1">
        <f>'RND 6 NET'!R33</f>
        <v>-1</v>
      </c>
      <c r="U44" s="1">
        <f>'RND 6 NET'!S33</f>
        <v>-1</v>
      </c>
      <c r="V44" s="1">
        <f>'RND 6 NET'!T33</f>
        <v>-1</v>
      </c>
      <c r="W44" s="89">
        <f>'RND 6 NET'!U33</f>
        <v>-13</v>
      </c>
    </row>
    <row r="45" spans="1:23" x14ac:dyDescent="0.2">
      <c r="A45" s="83" t="str">
        <f t="shared" si="1"/>
        <v>FINDLAY</v>
      </c>
      <c r="B45" s="78">
        <f t="shared" si="1"/>
        <v>18</v>
      </c>
      <c r="D45" s="83"/>
      <c r="E45" s="1">
        <f>'RND 6 NET'!C34</f>
        <v>-1</v>
      </c>
      <c r="F45" s="1">
        <f>'RND 6 NET'!D34</f>
        <v>-1</v>
      </c>
      <c r="G45" s="1">
        <f>'RND 6 NET'!E34</f>
        <v>-1</v>
      </c>
      <c r="H45" s="1">
        <f>'RND 6 NET'!F34</f>
        <v>3</v>
      </c>
      <c r="I45" s="1">
        <f>'RND 6 NET'!G34</f>
        <v>-1</v>
      </c>
      <c r="J45" s="1">
        <f>'RND 6 NET'!H34</f>
        <v>-1</v>
      </c>
      <c r="K45" s="1">
        <f>'RND 6 NET'!I34</f>
        <v>-1</v>
      </c>
      <c r="L45" s="1">
        <f>'RND 6 NET'!J34</f>
        <v>-1</v>
      </c>
      <c r="M45" s="1">
        <f>'RND 6 NET'!K34</f>
        <v>-1</v>
      </c>
      <c r="N45" s="1">
        <f>'RND 6 NET'!L34</f>
        <v>-1</v>
      </c>
      <c r="O45" s="1">
        <f>'RND 6 NET'!M34</f>
        <v>-1</v>
      </c>
      <c r="P45" s="1">
        <f>'RND 6 NET'!N34</f>
        <v>-1</v>
      </c>
      <c r="Q45" s="1">
        <f>'RND 6 NET'!O34</f>
        <v>-1</v>
      </c>
      <c r="R45" s="1">
        <f>'RND 6 NET'!P34</f>
        <v>-1</v>
      </c>
      <c r="S45" s="1">
        <f>'RND 6 NET'!Q34</f>
        <v>-1</v>
      </c>
      <c r="T45" s="1">
        <f>'RND 6 NET'!R34</f>
        <v>-1</v>
      </c>
      <c r="U45" s="1">
        <f>'RND 6 NET'!S34</f>
        <v>-1</v>
      </c>
      <c r="V45" s="1">
        <f>'RND 6 NET'!T34</f>
        <v>-1</v>
      </c>
      <c r="W45" s="89">
        <f>'RND 6 NET'!U34</f>
        <v>-14</v>
      </c>
    </row>
    <row r="46" spans="1:23" x14ac:dyDescent="0.2">
      <c r="A46" s="83" t="str">
        <f t="shared" si="1"/>
        <v>HOLLANDS</v>
      </c>
      <c r="B46" s="78">
        <f t="shared" si="1"/>
        <v>18</v>
      </c>
      <c r="D46" s="83"/>
      <c r="E46" s="1">
        <f>'RND 6 NET'!C35</f>
        <v>-1</v>
      </c>
      <c r="F46" s="1">
        <f>'RND 6 NET'!D35</f>
        <v>-1</v>
      </c>
      <c r="G46" s="1">
        <f>'RND 6 NET'!E35</f>
        <v>-1</v>
      </c>
      <c r="H46" s="1">
        <f>'RND 6 NET'!F35</f>
        <v>-1</v>
      </c>
      <c r="I46" s="1">
        <f>'RND 6 NET'!G35</f>
        <v>2</v>
      </c>
      <c r="J46" s="1">
        <f>'RND 6 NET'!H35</f>
        <v>-1</v>
      </c>
      <c r="K46" s="1">
        <f>'RND 6 NET'!I35</f>
        <v>-1</v>
      </c>
      <c r="L46" s="1">
        <f>'RND 6 NET'!J35</f>
        <v>-1</v>
      </c>
      <c r="M46" s="1">
        <f>'RND 6 NET'!K35</f>
        <v>-1</v>
      </c>
      <c r="N46" s="1">
        <f>'RND 6 NET'!L35</f>
        <v>-1</v>
      </c>
      <c r="O46" s="1">
        <f>'RND 6 NET'!M35</f>
        <v>-1</v>
      </c>
      <c r="P46" s="1">
        <f>'RND 6 NET'!N35</f>
        <v>-1</v>
      </c>
      <c r="Q46" s="1">
        <f>'RND 6 NET'!O35</f>
        <v>-1</v>
      </c>
      <c r="R46" s="1">
        <f>'RND 6 NET'!P35</f>
        <v>-1</v>
      </c>
      <c r="S46" s="1">
        <f>'RND 6 NET'!Q35</f>
        <v>-1</v>
      </c>
      <c r="T46" s="1">
        <f>'RND 6 NET'!R35</f>
        <v>-1</v>
      </c>
      <c r="U46" s="1">
        <f>'RND 6 NET'!S35</f>
        <v>-1</v>
      </c>
      <c r="V46" s="1">
        <f>'RND 6 NET'!T35</f>
        <v>-1</v>
      </c>
      <c r="W46" s="89">
        <f>'RND 6 NET'!U35</f>
        <v>-15</v>
      </c>
    </row>
    <row r="47" spans="1:23" x14ac:dyDescent="0.2">
      <c r="A47" s="83" t="str">
        <f t="shared" si="1"/>
        <v>LAING</v>
      </c>
      <c r="B47" s="78">
        <f t="shared" si="1"/>
        <v>18</v>
      </c>
      <c r="D47" s="83"/>
      <c r="E47" s="1">
        <f>'RND 6 NET'!C36</f>
        <v>-1</v>
      </c>
      <c r="F47" s="1">
        <f>'RND 6 NET'!D36</f>
        <v>-1</v>
      </c>
      <c r="G47" s="1">
        <f>'RND 6 NET'!E36</f>
        <v>-1</v>
      </c>
      <c r="H47" s="1">
        <f>'RND 6 NET'!F36</f>
        <v>-1</v>
      </c>
      <c r="I47" s="1">
        <f>'RND 6 NET'!G36</f>
        <v>-1</v>
      </c>
      <c r="J47" s="1">
        <f>'RND 6 NET'!H36</f>
        <v>1</v>
      </c>
      <c r="K47" s="1">
        <f>'RND 6 NET'!I36</f>
        <v>-1</v>
      </c>
      <c r="L47" s="1">
        <f>'RND 6 NET'!J36</f>
        <v>-1</v>
      </c>
      <c r="M47" s="1">
        <f>'RND 6 NET'!K36</f>
        <v>-1</v>
      </c>
      <c r="N47" s="1">
        <f>'RND 6 NET'!L36</f>
        <v>-1</v>
      </c>
      <c r="O47" s="1">
        <f>'RND 6 NET'!M36</f>
        <v>-1</v>
      </c>
      <c r="P47" s="1">
        <f>'RND 6 NET'!N36</f>
        <v>-1</v>
      </c>
      <c r="Q47" s="1">
        <f>'RND 6 NET'!O36</f>
        <v>-1</v>
      </c>
      <c r="R47" s="1">
        <f>'RND 6 NET'!P36</f>
        <v>-1</v>
      </c>
      <c r="S47" s="1">
        <f>'RND 6 NET'!Q36</f>
        <v>-1</v>
      </c>
      <c r="T47" s="1">
        <f>'RND 6 NET'!R36</f>
        <v>-1</v>
      </c>
      <c r="U47" s="1">
        <f>'RND 6 NET'!S36</f>
        <v>-1</v>
      </c>
      <c r="V47" s="1">
        <f>'RND 6 NET'!T36</f>
        <v>-1</v>
      </c>
      <c r="W47" s="89">
        <f>'RND 6 NET'!U36</f>
        <v>-16</v>
      </c>
    </row>
    <row r="48" spans="1:23" x14ac:dyDescent="0.2">
      <c r="A48" s="83" t="str">
        <f t="shared" si="1"/>
        <v>REILLY</v>
      </c>
      <c r="B48" s="78">
        <f t="shared" si="1"/>
        <v>18</v>
      </c>
      <c r="D48" s="83"/>
      <c r="E48" s="1">
        <f>'RND 6 NET'!C37</f>
        <v>-1</v>
      </c>
      <c r="F48" s="1">
        <f>'RND 6 NET'!D37</f>
        <v>-1</v>
      </c>
      <c r="G48" s="1">
        <f>'RND 6 NET'!E37</f>
        <v>-1</v>
      </c>
      <c r="H48" s="1">
        <f>'RND 6 NET'!F37</f>
        <v>-1</v>
      </c>
      <c r="I48" s="1">
        <f>'RND 6 NET'!G37</f>
        <v>-1</v>
      </c>
      <c r="J48" s="1">
        <f>'RND 6 NET'!H37</f>
        <v>-1</v>
      </c>
      <c r="K48" s="1">
        <f>'RND 6 NET'!I37</f>
        <v>0</v>
      </c>
      <c r="L48" s="1">
        <f>'RND 6 NET'!J37</f>
        <v>-1</v>
      </c>
      <c r="M48" s="1">
        <f>'RND 6 NET'!K37</f>
        <v>-1</v>
      </c>
      <c r="N48" s="1">
        <f>'RND 6 NET'!L37</f>
        <v>-1</v>
      </c>
      <c r="O48" s="1">
        <f>'RND 6 NET'!M37</f>
        <v>-1</v>
      </c>
      <c r="P48" s="1">
        <f>'RND 6 NET'!N37</f>
        <v>-1</v>
      </c>
      <c r="Q48" s="1">
        <f>'RND 6 NET'!O37</f>
        <v>-1</v>
      </c>
      <c r="R48" s="1">
        <f>'RND 6 NET'!P37</f>
        <v>-1</v>
      </c>
      <c r="S48" s="1">
        <f>'RND 6 NET'!Q37</f>
        <v>-1</v>
      </c>
      <c r="T48" s="1">
        <f>'RND 6 NET'!R37</f>
        <v>-1</v>
      </c>
      <c r="U48" s="1">
        <f>'RND 6 NET'!S37</f>
        <v>-1</v>
      </c>
      <c r="V48" s="1">
        <f>'RND 6 NET'!T37</f>
        <v>-1</v>
      </c>
      <c r="W48" s="89">
        <f>'RND 6 NET'!U37</f>
        <v>-17</v>
      </c>
    </row>
    <row r="49" spans="1:23" x14ac:dyDescent="0.2">
      <c r="A49" s="85" t="str">
        <f t="shared" si="1"/>
        <v>STONES</v>
      </c>
      <c r="B49" s="79">
        <f t="shared" si="1"/>
        <v>18</v>
      </c>
      <c r="D49" s="85"/>
      <c r="E49" s="90">
        <f>'RND 6 NET'!C38</f>
        <v>-1</v>
      </c>
      <c r="F49" s="90">
        <f>'RND 6 NET'!D38</f>
        <v>-1</v>
      </c>
      <c r="G49" s="90">
        <f>'RND 6 NET'!E38</f>
        <v>-1</v>
      </c>
      <c r="H49" s="90">
        <f>'RND 6 NET'!F38</f>
        <v>-1</v>
      </c>
      <c r="I49" s="90">
        <f>'RND 6 NET'!G38</f>
        <v>-1</v>
      </c>
      <c r="J49" s="90">
        <f>'RND 6 NET'!H38</f>
        <v>-1</v>
      </c>
      <c r="K49" s="90">
        <f>'RND 6 NET'!I38</f>
        <v>-1</v>
      </c>
      <c r="L49" s="90">
        <f>'RND 6 NET'!J38</f>
        <v>-1</v>
      </c>
      <c r="M49" s="90">
        <f>'RND 6 NET'!K38</f>
        <v>-1</v>
      </c>
      <c r="N49" s="90">
        <f>'RND 6 NET'!L38</f>
        <v>-1</v>
      </c>
      <c r="O49" s="90">
        <f>'RND 6 NET'!M38</f>
        <v>-1</v>
      </c>
      <c r="P49" s="90">
        <f>'RND 6 NET'!N38</f>
        <v>-1</v>
      </c>
      <c r="Q49" s="90">
        <f>'RND 6 NET'!O38</f>
        <v>-1</v>
      </c>
      <c r="R49" s="90">
        <f>'RND 6 NET'!P38</f>
        <v>-1</v>
      </c>
      <c r="S49" s="90">
        <f>'RND 6 NET'!Q38</f>
        <v>-1</v>
      </c>
      <c r="T49" s="90">
        <f>'RND 6 NET'!R38</f>
        <v>-1</v>
      </c>
      <c r="U49" s="90">
        <f>'RND 6 NET'!S38</f>
        <v>-1</v>
      </c>
      <c r="V49" s="90">
        <f>'RND 6 NET'!T38</f>
        <v>-1</v>
      </c>
      <c r="W49" s="91">
        <f>'RND 6 NET'!U38</f>
        <v>-18</v>
      </c>
    </row>
    <row r="72" spans="1:10" x14ac:dyDescent="0.2">
      <c r="A72" s="157" t="s">
        <v>122</v>
      </c>
      <c r="B72" s="158"/>
      <c r="C72" s="158"/>
      <c r="D72" s="158"/>
      <c r="E72" s="158"/>
      <c r="F72" s="158"/>
      <c r="G72" s="158"/>
      <c r="H72" s="158"/>
      <c r="I72" s="158"/>
      <c r="J72" s="4"/>
    </row>
    <row r="73" spans="1:10" x14ac:dyDescent="0.2">
      <c r="A73" s="159"/>
      <c r="B73" s="226"/>
      <c r="D73" t="s">
        <v>67</v>
      </c>
      <c r="E73" t="s">
        <v>66</v>
      </c>
      <c r="F73" t="s">
        <v>96</v>
      </c>
      <c r="G73" t="s">
        <v>98</v>
      </c>
      <c r="H73" t="s">
        <v>70</v>
      </c>
      <c r="I73" t="s">
        <v>71</v>
      </c>
      <c r="J73" s="9" t="s">
        <v>104</v>
      </c>
    </row>
    <row r="74" spans="1:10" x14ac:dyDescent="0.2">
      <c r="A74" s="159" t="str">
        <f>'OVERALL CALC'!Q83</f>
        <v>1ST</v>
      </c>
      <c r="B74" t="str">
        <f>'OVERALL CALC'!R83</f>
        <v>⬆</v>
      </c>
      <c r="C74" t="str">
        <f>'OVERALL CALC'!S83</f>
        <v>STONES</v>
      </c>
      <c r="D74">
        <f>'OVERALL CALC'!T83</f>
        <v>24</v>
      </c>
      <c r="E74">
        <f>'OVERALL CALC'!U83</f>
        <v>7.5</v>
      </c>
      <c r="F74">
        <f>'OVERALL CALC'!V83</f>
        <v>24</v>
      </c>
      <c r="G74">
        <f>'OVERALL CALC'!W83</f>
        <v>10.5</v>
      </c>
      <c r="H74">
        <f>'OVERALL CALC'!X83</f>
        <v>6</v>
      </c>
      <c r="I74">
        <f>'OVERALL CALC'!Y83</f>
        <v>24</v>
      </c>
      <c r="J74" s="9">
        <f>'OVERALL CALC'!Z83</f>
        <v>96</v>
      </c>
    </row>
    <row r="75" spans="1:10" x14ac:dyDescent="0.2">
      <c r="A75" s="159" t="str">
        <f>'OVERALL CALC'!Q84</f>
        <v>2ND</v>
      </c>
      <c r="B75" t="str">
        <f>'OVERALL CALC'!R84</f>
        <v>⬇</v>
      </c>
      <c r="C75" t="str">
        <f>'OVERALL CALC'!S84</f>
        <v>FINDLAY</v>
      </c>
      <c r="D75">
        <f>'OVERALL CALC'!T84</f>
        <v>15</v>
      </c>
      <c r="E75">
        <f>'OVERALL CALC'!U84</f>
        <v>22.5</v>
      </c>
      <c r="F75">
        <f>'OVERALL CALC'!V84</f>
        <v>12</v>
      </c>
      <c r="G75">
        <f>'OVERALL CALC'!W84</f>
        <v>10.5</v>
      </c>
      <c r="H75">
        <f>'OVERALL CALC'!X84</f>
        <v>21</v>
      </c>
      <c r="I75">
        <f>'OVERALL CALC'!Y84</f>
        <v>12</v>
      </c>
      <c r="J75" s="9">
        <f>'OVERALL CALC'!Z84</f>
        <v>93</v>
      </c>
    </row>
    <row r="76" spans="1:10" x14ac:dyDescent="0.2">
      <c r="A76" s="159" t="str">
        <f>'OVERALL CALC'!Q85</f>
        <v>=3RD</v>
      </c>
      <c r="B76" t="str">
        <f>'OVERALL CALC'!R85</f>
        <v>⬇</v>
      </c>
      <c r="C76" t="str">
        <f>'OVERALL CALC'!S85</f>
        <v>HOLLANDS</v>
      </c>
      <c r="D76">
        <f>'OVERALL CALC'!T85</f>
        <v>12</v>
      </c>
      <c r="E76">
        <f>'OVERALL CALC'!U85</f>
        <v>22.5</v>
      </c>
      <c r="F76">
        <f>'OVERALL CALC'!V85</f>
        <v>15</v>
      </c>
      <c r="G76">
        <f>'OVERALL CALC'!W85</f>
        <v>10.5</v>
      </c>
      <c r="H76">
        <f>'OVERALL CALC'!X85</f>
        <v>16.5</v>
      </c>
      <c r="I76">
        <f>'OVERALL CALC'!Y85</f>
        <v>15</v>
      </c>
      <c r="J76" s="9">
        <f>'OVERALL CALC'!Z85</f>
        <v>91.5</v>
      </c>
    </row>
    <row r="77" spans="1:10" x14ac:dyDescent="0.2">
      <c r="A77" s="159" t="str">
        <f>'OVERALL CALC'!Q86</f>
        <v>=3RD</v>
      </c>
      <c r="B77" t="str">
        <f>'OVERALL CALC'!R86</f>
        <v>⬆</v>
      </c>
      <c r="C77" t="str">
        <f>'OVERALL CALC'!S86</f>
        <v>REILLY</v>
      </c>
      <c r="D77">
        <f>'OVERALL CALC'!T86</f>
        <v>18</v>
      </c>
      <c r="E77">
        <f>'OVERALL CALC'!U86</f>
        <v>12</v>
      </c>
      <c r="F77">
        <f>'OVERALL CALC'!V86</f>
        <v>21</v>
      </c>
      <c r="G77">
        <f>'OVERALL CALC'!W86</f>
        <v>10.5</v>
      </c>
      <c r="H77">
        <f>'OVERALL CALC'!X86</f>
        <v>9</v>
      </c>
      <c r="I77">
        <f>'OVERALL CALC'!Y86</f>
        <v>21</v>
      </c>
      <c r="J77" s="9">
        <f>'OVERALL CALC'!Z86</f>
        <v>91.5</v>
      </c>
    </row>
    <row r="78" spans="1:10" x14ac:dyDescent="0.2">
      <c r="A78" s="159" t="str">
        <f>'OVERALL CALC'!Q87</f>
        <v>5TH</v>
      </c>
      <c r="B78" t="str">
        <f>'OVERALL CALC'!R87</f>
        <v>⬇</v>
      </c>
      <c r="C78" t="str">
        <f>'OVERALL CALC'!S87</f>
        <v>LAING</v>
      </c>
      <c r="D78">
        <f>'OVERALL CALC'!T87</f>
        <v>3</v>
      </c>
      <c r="E78">
        <f>'OVERALL CALC'!U87</f>
        <v>15</v>
      </c>
      <c r="F78">
        <f>'OVERALL CALC'!V87</f>
        <v>18</v>
      </c>
      <c r="G78">
        <f>'OVERALL CALC'!W87</f>
        <v>10.5</v>
      </c>
      <c r="H78">
        <f>'OVERALL CALC'!X87</f>
        <v>24</v>
      </c>
      <c r="I78">
        <f>'OVERALL CALC'!Y87</f>
        <v>18</v>
      </c>
      <c r="J78" s="9">
        <f>'OVERALL CALC'!Z87</f>
        <v>88.5</v>
      </c>
    </row>
    <row r="79" spans="1:10" x14ac:dyDescent="0.2">
      <c r="A79" s="159" t="str">
        <f>'OVERALL CALC'!Q88</f>
        <v>6TH</v>
      </c>
      <c r="B79" t="str">
        <f>'OVERALL CALC'!R88</f>
        <v>⬆</v>
      </c>
      <c r="C79" t="str">
        <f>'OVERALL CALC'!S88</f>
        <v>DONOVAN</v>
      </c>
      <c r="D79">
        <f>'OVERALL CALC'!T88</f>
        <v>7.5</v>
      </c>
      <c r="E79">
        <f>'OVERALL CALC'!U88</f>
        <v>18</v>
      </c>
      <c r="F79">
        <f>'OVERALL CALC'!V88</f>
        <v>9</v>
      </c>
      <c r="G79">
        <f>'OVERALL CALC'!W88</f>
        <v>10.5</v>
      </c>
      <c r="H79">
        <f>'OVERALL CALC'!X88</f>
        <v>12</v>
      </c>
      <c r="I79">
        <f>'OVERALL CALC'!Y88</f>
        <v>9</v>
      </c>
      <c r="J79" s="9">
        <f>'OVERALL CALC'!Z88</f>
        <v>66</v>
      </c>
    </row>
    <row r="80" spans="1:10" x14ac:dyDescent="0.2">
      <c r="A80" s="159" t="str">
        <f>'OVERALL CALC'!Q89</f>
        <v>7TH</v>
      </c>
      <c r="B80" t="str">
        <f>'OVERALL CALC'!R89</f>
        <v>⬇</v>
      </c>
      <c r="C80" t="str">
        <f>'OVERALL CALC'!S89</f>
        <v>DEY</v>
      </c>
      <c r="D80">
        <f>'OVERALL CALC'!T89</f>
        <v>7.5</v>
      </c>
      <c r="E80">
        <f>'OVERALL CALC'!U89</f>
        <v>7.5</v>
      </c>
      <c r="F80">
        <f>'OVERALL CALC'!V89</f>
        <v>6</v>
      </c>
      <c r="G80">
        <f>'OVERALL CALC'!W89</f>
        <v>21</v>
      </c>
      <c r="H80">
        <f>'OVERALL CALC'!X89</f>
        <v>16.5</v>
      </c>
      <c r="I80">
        <f>'OVERALL CALC'!Y89</f>
        <v>6</v>
      </c>
      <c r="J80" s="9">
        <f>'OVERALL CALC'!Z89</f>
        <v>64.5</v>
      </c>
    </row>
    <row r="81" spans="1:10" x14ac:dyDescent="0.2">
      <c r="A81" s="160" t="str">
        <f>'OVERALL CALC'!Q90</f>
        <v>8TH</v>
      </c>
      <c r="B81" s="161" t="str">
        <f>'OVERALL CALC'!R90</f>
        <v>–</v>
      </c>
      <c r="C81" s="161" t="str">
        <f>'OVERALL CALC'!S90</f>
        <v>BELLIS</v>
      </c>
      <c r="D81" s="161">
        <f>'OVERALL CALC'!T90</f>
        <v>21</v>
      </c>
      <c r="E81" s="161">
        <f>'OVERALL CALC'!U90</f>
        <v>3</v>
      </c>
      <c r="F81" s="161">
        <f>'OVERALL CALC'!V90</f>
        <v>3</v>
      </c>
      <c r="G81" s="161">
        <f>'OVERALL CALC'!W90</f>
        <v>24</v>
      </c>
      <c r="H81" s="161">
        <f>'OVERALL CALC'!X90</f>
        <v>3</v>
      </c>
      <c r="I81" s="161">
        <f>'OVERALL CALC'!Y90</f>
        <v>3</v>
      </c>
      <c r="J81" s="10">
        <f>'OVERALL CALC'!Z90</f>
        <v>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F733-AC0E-D04A-8F63-6F51EBCED439}">
  <dimension ref="A1:AG38"/>
  <sheetViews>
    <sheetView topLeftCell="A33" zoomScale="66" zoomScaleNormal="100" workbookViewId="0">
      <selection activeCell="Y34" sqref="Y34"/>
    </sheetView>
  </sheetViews>
  <sheetFormatPr baseColWidth="10" defaultRowHeight="15" x14ac:dyDescent="0.2"/>
  <cols>
    <col min="1" max="1" width="13.1640625" bestFit="1" customWidth="1"/>
    <col min="22" max="22" width="12.33203125" customWidth="1"/>
  </cols>
  <sheetData>
    <row r="1" spans="1:33" x14ac:dyDescent="0.2">
      <c r="A1" t="s">
        <v>22</v>
      </c>
      <c r="Y1" s="330" t="s">
        <v>27</v>
      </c>
      <c r="Z1" s="331"/>
      <c r="AA1" s="331"/>
      <c r="AB1" s="331"/>
      <c r="AC1" s="331"/>
      <c r="AD1" s="331"/>
      <c r="AE1" s="331"/>
      <c r="AF1" s="331"/>
      <c r="AG1" s="332"/>
    </row>
    <row r="2" spans="1:33" x14ac:dyDescent="0.2">
      <c r="Y2" s="333"/>
      <c r="Z2" s="334"/>
      <c r="AA2" s="334"/>
      <c r="AB2" s="334"/>
      <c r="AC2" s="334"/>
      <c r="AD2" s="334"/>
      <c r="AE2" s="334"/>
      <c r="AF2" s="334"/>
      <c r="AG2" s="335"/>
    </row>
    <row r="3" spans="1:33" x14ac:dyDescent="0.2">
      <c r="Y3" s="83"/>
      <c r="AG3" s="84"/>
    </row>
    <row r="4" spans="1:33" x14ac:dyDescent="0.2">
      <c r="A4" s="62" t="s">
        <v>1</v>
      </c>
      <c r="B4" s="63" t="s">
        <v>15</v>
      </c>
      <c r="C4" s="69">
        <v>1</v>
      </c>
      <c r="D4" s="70">
        <v>2</v>
      </c>
      <c r="E4" s="70">
        <v>3</v>
      </c>
      <c r="F4" s="70">
        <v>4</v>
      </c>
      <c r="G4" s="70">
        <v>5</v>
      </c>
      <c r="H4" s="70">
        <v>6</v>
      </c>
      <c r="I4" s="70">
        <v>7</v>
      </c>
      <c r="J4" s="70">
        <v>8</v>
      </c>
      <c r="K4" s="70">
        <v>9</v>
      </c>
      <c r="L4" s="70">
        <v>10</v>
      </c>
      <c r="M4" s="70">
        <v>11</v>
      </c>
      <c r="N4" s="70">
        <v>12</v>
      </c>
      <c r="O4" s="70">
        <v>13</v>
      </c>
      <c r="P4" s="70">
        <v>14</v>
      </c>
      <c r="Q4" s="70">
        <v>15</v>
      </c>
      <c r="R4" s="70">
        <v>16</v>
      </c>
      <c r="S4" s="70">
        <v>17</v>
      </c>
      <c r="T4" s="70">
        <v>18</v>
      </c>
      <c r="U4" s="71" t="s">
        <v>2</v>
      </c>
      <c r="V4" s="75" t="s">
        <v>16</v>
      </c>
      <c r="Y4" s="148" t="str">
        <f t="shared" ref="Y4:Y11" si="0">A7</f>
        <v>BELLIS</v>
      </c>
      <c r="Z4" s="149">
        <f>U31</f>
        <v>-11</v>
      </c>
      <c r="AA4" s="149">
        <f>RANK(Z4,$Z$4:$Z$11,1)</f>
        <v>8</v>
      </c>
      <c r="AB4" s="149"/>
      <c r="AC4" s="149"/>
      <c r="AD4" s="149">
        <f t="shared" ref="AD4:AD11" si="1">IF(AA4=1,24,0)+(IF(AA4=2,21,0))+(IF(AA4=3,18,0))+(IF(AA4=4,15,0))+(IF(AA4=5,12,0))+(IF(AA4=6,9,0))+(IF(AA4=7,6,0))+(IF(AA4=8,3,0))</f>
        <v>3</v>
      </c>
      <c r="AE4" s="149">
        <f t="shared" ref="AE4:AE11" si="2">COUNTIF($AD$4:$AD$11,AD4)</f>
        <v>1</v>
      </c>
      <c r="AF4" s="149">
        <f t="shared" ref="AF4:AF11" si="3">SUMIF($AD$4:$AD$11,AD4)</f>
        <v>3</v>
      </c>
      <c r="AG4" s="150">
        <f>IF(AE4=3,AF4/3-3,0)+IF(AE4=2,AF4/2-1.5,0)+IF(AE4=1,AF4,0)+IF(AE4=4,AF4/4-4.5,0)+IF(AE4=5,AF4/5-6,0)+IF(AE4=6,AF4/6-7.5,0)+IF(AE4=7,AF4/7-9,0)+IF(AE4=8,AF4/8-10.5,0)</f>
        <v>3</v>
      </c>
    </row>
    <row r="5" spans="1:33" x14ac:dyDescent="0.2">
      <c r="A5" s="64"/>
      <c r="B5" s="65"/>
      <c r="C5" s="72">
        <v>4</v>
      </c>
      <c r="D5" s="72">
        <v>5</v>
      </c>
      <c r="E5" s="72">
        <v>3</v>
      </c>
      <c r="F5" s="72">
        <v>5</v>
      </c>
      <c r="G5" s="72">
        <v>4</v>
      </c>
      <c r="H5" s="72">
        <v>4</v>
      </c>
      <c r="I5" s="72">
        <v>3</v>
      </c>
      <c r="J5" s="72">
        <v>4</v>
      </c>
      <c r="K5" s="72">
        <v>4</v>
      </c>
      <c r="L5" s="72">
        <v>4</v>
      </c>
      <c r="M5" s="72">
        <v>4</v>
      </c>
      <c r="N5" s="72">
        <v>5</v>
      </c>
      <c r="O5" s="72">
        <v>4</v>
      </c>
      <c r="P5" s="72">
        <v>3</v>
      </c>
      <c r="Q5" s="72">
        <v>4</v>
      </c>
      <c r="R5" s="72">
        <v>4</v>
      </c>
      <c r="S5" s="72">
        <v>3</v>
      </c>
      <c r="T5" s="72">
        <v>5</v>
      </c>
      <c r="U5" s="65"/>
      <c r="Y5" s="151" t="str">
        <f t="shared" si="0"/>
        <v>DEY</v>
      </c>
      <c r="Z5" s="152">
        <f t="shared" ref="Z5:Z11" si="4">U32</f>
        <v>-12</v>
      </c>
      <c r="AA5" s="152">
        <f t="shared" ref="AA5:AA11" si="5">RANK(Z5,$Z$4:$Z$11,1)</f>
        <v>7</v>
      </c>
      <c r="AB5" s="152"/>
      <c r="AC5" s="152"/>
      <c r="AD5" s="152">
        <f t="shared" si="1"/>
        <v>6</v>
      </c>
      <c r="AE5" s="152">
        <f t="shared" si="2"/>
        <v>1</v>
      </c>
      <c r="AF5" s="152">
        <f t="shared" si="3"/>
        <v>6</v>
      </c>
      <c r="AG5" s="153">
        <f t="shared" ref="AG5:AG11" si="6">IF(AE5=3,AF5/3-3,0)+IF(AE5=2,AF5/2-1.5,0)+IF(AE5=1,AF5,0)+IF(AE5=4,AF5/4-4.5,0)+IF(AE5=5,AF5/5-6,0)+IF(AE5=6,AF5/6-7.5,0)+IF(AE5=7,AF5/7-9,0)+IF(AE5=8,AF5/8-10.5,0)</f>
        <v>6</v>
      </c>
    </row>
    <row r="6" spans="1:33" x14ac:dyDescent="0.2">
      <c r="A6" s="64"/>
      <c r="B6" s="65"/>
      <c r="C6" s="73">
        <v>9</v>
      </c>
      <c r="D6" s="73">
        <v>5</v>
      </c>
      <c r="E6" s="73">
        <v>15</v>
      </c>
      <c r="F6" s="73">
        <v>11</v>
      </c>
      <c r="G6" s="73">
        <v>3</v>
      </c>
      <c r="H6" s="73">
        <v>1</v>
      </c>
      <c r="I6" s="73">
        <v>17</v>
      </c>
      <c r="J6" s="73">
        <v>13</v>
      </c>
      <c r="K6" s="73">
        <v>7</v>
      </c>
      <c r="L6" s="73">
        <v>8</v>
      </c>
      <c r="M6" s="73">
        <v>14</v>
      </c>
      <c r="N6" s="73">
        <v>10</v>
      </c>
      <c r="O6" s="73">
        <v>2</v>
      </c>
      <c r="P6" s="73">
        <v>6</v>
      </c>
      <c r="Q6" s="73">
        <v>12</v>
      </c>
      <c r="R6" s="73">
        <v>16</v>
      </c>
      <c r="S6" s="73">
        <v>18</v>
      </c>
      <c r="T6" s="73">
        <v>4</v>
      </c>
      <c r="U6" s="74"/>
      <c r="Y6" s="151" t="str">
        <f t="shared" si="0"/>
        <v>DONOVAN</v>
      </c>
      <c r="Z6" s="152">
        <f t="shared" si="4"/>
        <v>-13</v>
      </c>
      <c r="AA6" s="152">
        <f t="shared" si="5"/>
        <v>6</v>
      </c>
      <c r="AB6" s="152"/>
      <c r="AC6" s="152"/>
      <c r="AD6" s="152">
        <f t="shared" si="1"/>
        <v>9</v>
      </c>
      <c r="AE6" s="152">
        <f t="shared" si="2"/>
        <v>1</v>
      </c>
      <c r="AF6" s="152">
        <f t="shared" si="3"/>
        <v>9</v>
      </c>
      <c r="AG6" s="153">
        <f t="shared" si="6"/>
        <v>9</v>
      </c>
    </row>
    <row r="7" spans="1:33" x14ac:dyDescent="0.2">
      <c r="A7" s="64" t="s">
        <v>3</v>
      </c>
      <c r="B7" s="114">
        <v>18</v>
      </c>
      <c r="C7" s="112">
        <v>7</v>
      </c>
      <c r="D7" s="112">
        <v>0</v>
      </c>
      <c r="E7" s="112">
        <v>0</v>
      </c>
      <c r="F7" s="112">
        <v>0</v>
      </c>
      <c r="G7" s="112">
        <v>0</v>
      </c>
      <c r="H7" s="112">
        <v>0</v>
      </c>
      <c r="I7" s="112">
        <v>0</v>
      </c>
      <c r="J7" s="112">
        <v>0</v>
      </c>
      <c r="K7" s="112">
        <v>0</v>
      </c>
      <c r="L7" s="112">
        <v>0</v>
      </c>
      <c r="M7" s="112">
        <v>0</v>
      </c>
      <c r="N7" s="112">
        <v>0</v>
      </c>
      <c r="O7" s="112">
        <v>0</v>
      </c>
      <c r="P7" s="112">
        <v>0</v>
      </c>
      <c r="Q7" s="112">
        <v>0</v>
      </c>
      <c r="R7" s="112">
        <v>0</v>
      </c>
      <c r="S7" s="112">
        <v>0</v>
      </c>
      <c r="T7" s="112">
        <v>0</v>
      </c>
      <c r="U7" s="8">
        <f>SUM(C7:T7)</f>
        <v>7</v>
      </c>
      <c r="Y7" s="151" t="str">
        <f t="shared" si="0"/>
        <v>FINDLAY</v>
      </c>
      <c r="Z7" s="152">
        <f t="shared" si="4"/>
        <v>-14</v>
      </c>
      <c r="AA7" s="152">
        <f t="shared" si="5"/>
        <v>5</v>
      </c>
      <c r="AB7" s="152"/>
      <c r="AC7" s="152"/>
      <c r="AD7" s="152">
        <f>IF(AA7=1,24,0)+(IF(AA7=2,21,0))+(IF(AA7=3,18,0))+(IF(AA7=4,15,0))+(IF(AA7=5,12,0))+(IF(AA7=6,9,0))+(IF(AA7=7,6,0))+(IF(AA7=8,3,0))</f>
        <v>12</v>
      </c>
      <c r="AE7" s="152">
        <f t="shared" si="2"/>
        <v>1</v>
      </c>
      <c r="AF7" s="152">
        <f t="shared" si="3"/>
        <v>12</v>
      </c>
      <c r="AG7" s="153">
        <f t="shared" si="6"/>
        <v>12</v>
      </c>
    </row>
    <row r="8" spans="1:33" x14ac:dyDescent="0.2">
      <c r="A8" s="64" t="s">
        <v>4</v>
      </c>
      <c r="B8" s="114">
        <v>18</v>
      </c>
      <c r="C8" s="112">
        <v>0</v>
      </c>
      <c r="D8" s="112">
        <v>6</v>
      </c>
      <c r="E8" s="112">
        <v>0</v>
      </c>
      <c r="F8" s="112">
        <v>0</v>
      </c>
      <c r="G8" s="112">
        <v>0</v>
      </c>
      <c r="H8" s="112">
        <v>0</v>
      </c>
      <c r="I8" s="112">
        <v>0</v>
      </c>
      <c r="J8" s="112">
        <v>0</v>
      </c>
      <c r="K8" s="112">
        <v>0</v>
      </c>
      <c r="L8" s="112">
        <v>0</v>
      </c>
      <c r="M8" s="112">
        <v>0</v>
      </c>
      <c r="N8" s="112">
        <v>0</v>
      </c>
      <c r="O8" s="112">
        <v>0</v>
      </c>
      <c r="P8" s="112">
        <v>0</v>
      </c>
      <c r="Q8" s="112">
        <v>0</v>
      </c>
      <c r="R8" s="112">
        <v>0</v>
      </c>
      <c r="S8" s="112">
        <v>0</v>
      </c>
      <c r="T8" s="112">
        <v>0</v>
      </c>
      <c r="U8" s="8">
        <f t="shared" ref="U8:U14" si="7">SUM(C8:T8)</f>
        <v>6</v>
      </c>
      <c r="Y8" s="151" t="str">
        <f t="shared" si="0"/>
        <v>HOLLANDS</v>
      </c>
      <c r="Z8" s="152">
        <f t="shared" si="4"/>
        <v>-15</v>
      </c>
      <c r="AA8" s="152">
        <f t="shared" si="5"/>
        <v>4</v>
      </c>
      <c r="AB8" s="152"/>
      <c r="AC8" s="152"/>
      <c r="AD8" s="152">
        <f t="shared" si="1"/>
        <v>15</v>
      </c>
      <c r="AE8" s="152">
        <f t="shared" si="2"/>
        <v>1</v>
      </c>
      <c r="AF8" s="152">
        <f t="shared" si="3"/>
        <v>15</v>
      </c>
      <c r="AG8" s="153">
        <f t="shared" si="6"/>
        <v>15</v>
      </c>
    </row>
    <row r="9" spans="1:33" x14ac:dyDescent="0.2">
      <c r="A9" s="64" t="s">
        <v>5</v>
      </c>
      <c r="B9" s="114">
        <v>18</v>
      </c>
      <c r="C9" s="112">
        <v>0</v>
      </c>
      <c r="D9" s="112">
        <v>0</v>
      </c>
      <c r="E9" s="112">
        <v>5</v>
      </c>
      <c r="F9" s="112">
        <v>0</v>
      </c>
      <c r="G9" s="112">
        <v>0</v>
      </c>
      <c r="H9" s="112">
        <v>0</v>
      </c>
      <c r="I9" s="112">
        <v>0</v>
      </c>
      <c r="J9" s="112">
        <v>0</v>
      </c>
      <c r="K9" s="112">
        <v>0</v>
      </c>
      <c r="L9" s="112">
        <v>0</v>
      </c>
      <c r="M9" s="112">
        <v>0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0</v>
      </c>
      <c r="T9" s="112">
        <v>0</v>
      </c>
      <c r="U9" s="8">
        <f t="shared" si="7"/>
        <v>5</v>
      </c>
      <c r="Y9" s="151" t="str">
        <f t="shared" si="0"/>
        <v>LAING</v>
      </c>
      <c r="Z9" s="152">
        <f t="shared" si="4"/>
        <v>-16</v>
      </c>
      <c r="AA9" s="152">
        <f t="shared" si="5"/>
        <v>3</v>
      </c>
      <c r="AB9" s="152"/>
      <c r="AC9" s="152"/>
      <c r="AD9" s="152">
        <f t="shared" si="1"/>
        <v>18</v>
      </c>
      <c r="AE9" s="152">
        <f t="shared" si="2"/>
        <v>1</v>
      </c>
      <c r="AF9" s="152">
        <f t="shared" si="3"/>
        <v>18</v>
      </c>
      <c r="AG9" s="153">
        <f t="shared" si="6"/>
        <v>18</v>
      </c>
    </row>
    <row r="10" spans="1:33" x14ac:dyDescent="0.2">
      <c r="A10" s="64" t="s">
        <v>6</v>
      </c>
      <c r="B10" s="114">
        <v>18</v>
      </c>
      <c r="C10" s="112">
        <v>0</v>
      </c>
      <c r="D10" s="112">
        <v>0</v>
      </c>
      <c r="E10" s="112">
        <v>0</v>
      </c>
      <c r="F10" s="112">
        <v>4</v>
      </c>
      <c r="G10" s="112">
        <v>0</v>
      </c>
      <c r="H10" s="112">
        <v>0</v>
      </c>
      <c r="I10" s="112">
        <v>0</v>
      </c>
      <c r="J10" s="112">
        <v>0</v>
      </c>
      <c r="K10" s="112">
        <v>0</v>
      </c>
      <c r="L10" s="112">
        <v>0</v>
      </c>
      <c r="M10" s="112">
        <v>0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8">
        <f t="shared" si="7"/>
        <v>4</v>
      </c>
      <c r="Y10" s="151" t="str">
        <f t="shared" si="0"/>
        <v>REILLY</v>
      </c>
      <c r="Z10" s="152">
        <f t="shared" si="4"/>
        <v>-17</v>
      </c>
      <c r="AA10" s="152">
        <f t="shared" si="5"/>
        <v>2</v>
      </c>
      <c r="AB10" s="152"/>
      <c r="AC10" s="152"/>
      <c r="AD10" s="152">
        <f t="shared" si="1"/>
        <v>21</v>
      </c>
      <c r="AE10" s="152">
        <f t="shared" si="2"/>
        <v>1</v>
      </c>
      <c r="AF10" s="152">
        <f t="shared" si="3"/>
        <v>21</v>
      </c>
      <c r="AG10" s="153">
        <f t="shared" si="6"/>
        <v>21</v>
      </c>
    </row>
    <row r="11" spans="1:33" x14ac:dyDescent="0.2">
      <c r="A11" s="64" t="s">
        <v>7</v>
      </c>
      <c r="B11" s="114">
        <v>18</v>
      </c>
      <c r="C11" s="112">
        <v>0</v>
      </c>
      <c r="D11" s="112">
        <v>0</v>
      </c>
      <c r="E11" s="112">
        <v>0</v>
      </c>
      <c r="F11" s="112">
        <v>0</v>
      </c>
      <c r="G11" s="112">
        <v>3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0</v>
      </c>
      <c r="N11" s="112">
        <v>0</v>
      </c>
      <c r="O11" s="112">
        <v>0</v>
      </c>
      <c r="P11" s="112">
        <v>0</v>
      </c>
      <c r="Q11" s="112">
        <v>0</v>
      </c>
      <c r="R11" s="112">
        <v>0</v>
      </c>
      <c r="S11" s="112">
        <v>0</v>
      </c>
      <c r="T11" s="112">
        <v>0</v>
      </c>
      <c r="U11" s="8">
        <f t="shared" si="7"/>
        <v>3</v>
      </c>
      <c r="Y11" s="154" t="str">
        <f t="shared" si="0"/>
        <v>STONES</v>
      </c>
      <c r="Z11" s="155">
        <f t="shared" si="4"/>
        <v>-18</v>
      </c>
      <c r="AA11" s="155">
        <f t="shared" si="5"/>
        <v>1</v>
      </c>
      <c r="AB11" s="155"/>
      <c r="AC11" s="155"/>
      <c r="AD11" s="155">
        <f t="shared" si="1"/>
        <v>24</v>
      </c>
      <c r="AE11" s="155">
        <f t="shared" si="2"/>
        <v>1</v>
      </c>
      <c r="AF11" s="155">
        <f t="shared" si="3"/>
        <v>24</v>
      </c>
      <c r="AG11" s="156">
        <f t="shared" si="6"/>
        <v>24</v>
      </c>
    </row>
    <row r="12" spans="1:33" x14ac:dyDescent="0.2">
      <c r="A12" s="64" t="s">
        <v>8</v>
      </c>
      <c r="B12" s="114">
        <v>18</v>
      </c>
      <c r="C12" s="112">
        <v>0</v>
      </c>
      <c r="D12" s="112">
        <v>0</v>
      </c>
      <c r="E12" s="112">
        <v>0</v>
      </c>
      <c r="F12" s="112">
        <v>0</v>
      </c>
      <c r="G12" s="112">
        <v>0</v>
      </c>
      <c r="H12" s="112">
        <v>2</v>
      </c>
      <c r="I12" s="112">
        <v>0</v>
      </c>
      <c r="J12" s="112">
        <v>0</v>
      </c>
      <c r="K12" s="112">
        <v>0</v>
      </c>
      <c r="L12" s="112">
        <v>0</v>
      </c>
      <c r="M12" s="112">
        <v>0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8">
        <f t="shared" si="7"/>
        <v>2</v>
      </c>
      <c r="Y12" s="83"/>
      <c r="AG12" s="84"/>
    </row>
    <row r="13" spans="1:33" x14ac:dyDescent="0.2">
      <c r="A13" s="64" t="s">
        <v>9</v>
      </c>
      <c r="B13" s="114">
        <v>18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1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8">
        <f t="shared" si="7"/>
        <v>1</v>
      </c>
      <c r="Y13" s="83"/>
      <c r="AG13" s="84"/>
    </row>
    <row r="14" spans="1:33" x14ac:dyDescent="0.2">
      <c r="A14" s="67" t="s">
        <v>10</v>
      </c>
      <c r="B14" s="115">
        <v>18</v>
      </c>
      <c r="C14" s="113">
        <v>0</v>
      </c>
      <c r="D14" s="113">
        <v>0</v>
      </c>
      <c r="E14" s="113">
        <v>0</v>
      </c>
      <c r="F14" s="113">
        <v>0</v>
      </c>
      <c r="G14" s="113">
        <v>0</v>
      </c>
      <c r="H14" s="113">
        <v>0</v>
      </c>
      <c r="I14" s="113">
        <v>0</v>
      </c>
      <c r="J14" s="113">
        <v>0</v>
      </c>
      <c r="K14" s="113">
        <v>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7">
        <f t="shared" si="7"/>
        <v>0</v>
      </c>
      <c r="Y14" s="148" t="str">
        <f t="shared" ref="Y14:Z21" si="8">Y4</f>
        <v>BELLIS</v>
      </c>
      <c r="Z14" s="149">
        <f t="shared" si="8"/>
        <v>-11</v>
      </c>
      <c r="AA14" s="149">
        <f t="shared" ref="AA14:AA21" si="9">AG4</f>
        <v>3</v>
      </c>
      <c r="AB14" s="149">
        <f>RANK(Z14,$Z$14:$Z$21,1)+COUNTIF($Z$14:Z14,Z14)-1</f>
        <v>8</v>
      </c>
      <c r="AC14" s="150"/>
      <c r="AD14" s="103">
        <v>1</v>
      </c>
      <c r="AE14" s="104" t="str">
        <f t="shared" ref="AE14:AE21" si="10">INDEX($Y$14:$AB$21,MATCH(AD14,$AB$14:$AB$21,0),1)</f>
        <v>STONES</v>
      </c>
      <c r="AF14" s="104">
        <f t="shared" ref="AF14:AF21" si="11">INDEX($Y$14:$AB$21,MATCH(AD14,$AB$14:$AB$21,0),2)</f>
        <v>-18</v>
      </c>
      <c r="AG14" s="105">
        <f t="shared" ref="AG14:AG21" si="12">INDEX($Y$14:$AB$21,MATCH(AD14,$AB$14:$AB$21,0),3)</f>
        <v>24</v>
      </c>
    </row>
    <row r="15" spans="1:33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Y15" s="151" t="str">
        <f t="shared" si="8"/>
        <v>DEY</v>
      </c>
      <c r="Z15" s="152">
        <f t="shared" si="8"/>
        <v>-12</v>
      </c>
      <c r="AA15" s="152">
        <f t="shared" si="9"/>
        <v>6</v>
      </c>
      <c r="AB15" s="152">
        <f>RANK(Z15,$Z$14:$Z$21,1)+COUNTIF($Z$14:Z15,Z15)-1</f>
        <v>7</v>
      </c>
      <c r="AC15" s="153"/>
      <c r="AD15" s="106">
        <v>2</v>
      </c>
      <c r="AE15" s="12" t="str">
        <f t="shared" si="10"/>
        <v>REILLY</v>
      </c>
      <c r="AF15" s="12">
        <f t="shared" si="11"/>
        <v>-17</v>
      </c>
      <c r="AG15" s="107">
        <f t="shared" si="12"/>
        <v>21</v>
      </c>
    </row>
    <row r="16" spans="1:33" x14ac:dyDescent="0.2">
      <c r="A16" s="62"/>
      <c r="B16" s="76"/>
      <c r="C16" s="70">
        <v>1</v>
      </c>
      <c r="D16" s="70">
        <v>2</v>
      </c>
      <c r="E16" s="70">
        <v>3</v>
      </c>
      <c r="F16" s="70">
        <v>4</v>
      </c>
      <c r="G16" s="70">
        <v>5</v>
      </c>
      <c r="H16" s="70">
        <v>6</v>
      </c>
      <c r="I16" s="70">
        <v>7</v>
      </c>
      <c r="J16" s="70">
        <v>8</v>
      </c>
      <c r="K16" s="70">
        <v>9</v>
      </c>
      <c r="L16" s="70">
        <v>10</v>
      </c>
      <c r="M16" s="70">
        <v>11</v>
      </c>
      <c r="N16" s="70">
        <v>12</v>
      </c>
      <c r="O16" s="70">
        <v>13</v>
      </c>
      <c r="P16" s="70">
        <v>14</v>
      </c>
      <c r="Q16" s="70">
        <v>15</v>
      </c>
      <c r="R16" s="70">
        <v>16</v>
      </c>
      <c r="S16" s="70">
        <v>17</v>
      </c>
      <c r="T16" s="70">
        <v>18</v>
      </c>
      <c r="U16" s="71" t="s">
        <v>2</v>
      </c>
      <c r="V16" s="75" t="s">
        <v>17</v>
      </c>
      <c r="Y16" s="151" t="str">
        <f t="shared" si="8"/>
        <v>DONOVAN</v>
      </c>
      <c r="Z16" s="152">
        <f t="shared" si="8"/>
        <v>-13</v>
      </c>
      <c r="AA16" s="152">
        <f t="shared" si="9"/>
        <v>9</v>
      </c>
      <c r="AB16" s="152">
        <f>RANK(Z16,$Z$14:$Z$21,1)+COUNTIF($Z$14:Z16,Z16)-1</f>
        <v>6</v>
      </c>
      <c r="AC16" s="153"/>
      <c r="AD16" s="106">
        <v>3</v>
      </c>
      <c r="AE16" s="12" t="str">
        <f t="shared" si="10"/>
        <v>LAING</v>
      </c>
      <c r="AF16" s="12">
        <f t="shared" si="11"/>
        <v>-16</v>
      </c>
      <c r="AG16" s="107">
        <f t="shared" si="12"/>
        <v>18</v>
      </c>
    </row>
    <row r="17" spans="1:33" x14ac:dyDescent="0.2">
      <c r="A17" s="64"/>
      <c r="B17" s="65"/>
      <c r="C17" s="72">
        <f>C5</f>
        <v>4</v>
      </c>
      <c r="D17" s="72">
        <f t="shared" ref="D17:T17" si="13">D5</f>
        <v>5</v>
      </c>
      <c r="E17" s="72">
        <f t="shared" si="13"/>
        <v>3</v>
      </c>
      <c r="F17" s="72">
        <f t="shared" si="13"/>
        <v>5</v>
      </c>
      <c r="G17" s="72">
        <f t="shared" si="13"/>
        <v>4</v>
      </c>
      <c r="H17" s="72">
        <f t="shared" si="13"/>
        <v>4</v>
      </c>
      <c r="I17" s="72">
        <f t="shared" si="13"/>
        <v>3</v>
      </c>
      <c r="J17" s="72">
        <f t="shared" si="13"/>
        <v>4</v>
      </c>
      <c r="K17" s="72">
        <f t="shared" si="13"/>
        <v>4</v>
      </c>
      <c r="L17" s="72">
        <f t="shared" si="13"/>
        <v>4</v>
      </c>
      <c r="M17" s="72">
        <f t="shared" si="13"/>
        <v>4</v>
      </c>
      <c r="N17" s="72">
        <f t="shared" si="13"/>
        <v>5</v>
      </c>
      <c r="O17" s="72">
        <f t="shared" si="13"/>
        <v>4</v>
      </c>
      <c r="P17" s="72">
        <f t="shared" si="13"/>
        <v>3</v>
      </c>
      <c r="Q17" s="72">
        <f t="shared" si="13"/>
        <v>4</v>
      </c>
      <c r="R17" s="72">
        <f t="shared" si="13"/>
        <v>4</v>
      </c>
      <c r="S17" s="72">
        <f t="shared" si="13"/>
        <v>3</v>
      </c>
      <c r="T17" s="72">
        <f t="shared" si="13"/>
        <v>5</v>
      </c>
      <c r="U17" s="65"/>
      <c r="Y17" s="151" t="str">
        <f t="shared" si="8"/>
        <v>FINDLAY</v>
      </c>
      <c r="Z17" s="152">
        <f t="shared" si="8"/>
        <v>-14</v>
      </c>
      <c r="AA17" s="152">
        <f t="shared" si="9"/>
        <v>12</v>
      </c>
      <c r="AB17" s="152">
        <f>RANK(Z17,$Z$14:$Z$21,1)+COUNTIF($Z$14:Z17,Z17)-1</f>
        <v>5</v>
      </c>
      <c r="AC17" s="153"/>
      <c r="AD17" s="106">
        <v>4</v>
      </c>
      <c r="AE17" s="12" t="str">
        <f t="shared" si="10"/>
        <v>HOLLANDS</v>
      </c>
      <c r="AF17" s="12">
        <f t="shared" si="11"/>
        <v>-15</v>
      </c>
      <c r="AG17" s="107">
        <f t="shared" si="12"/>
        <v>15</v>
      </c>
    </row>
    <row r="18" spans="1:33" x14ac:dyDescent="0.2">
      <c r="A18" s="64"/>
      <c r="B18" s="65"/>
      <c r="C18" s="73">
        <f>C6</f>
        <v>9</v>
      </c>
      <c r="D18" s="73">
        <f t="shared" ref="D18:T18" si="14">D6</f>
        <v>5</v>
      </c>
      <c r="E18" s="73">
        <f t="shared" si="14"/>
        <v>15</v>
      </c>
      <c r="F18" s="73">
        <f t="shared" si="14"/>
        <v>11</v>
      </c>
      <c r="G18" s="73">
        <f t="shared" si="14"/>
        <v>3</v>
      </c>
      <c r="H18" s="73">
        <f t="shared" si="14"/>
        <v>1</v>
      </c>
      <c r="I18" s="73">
        <f t="shared" si="14"/>
        <v>17</v>
      </c>
      <c r="J18" s="73">
        <f t="shared" si="14"/>
        <v>13</v>
      </c>
      <c r="K18" s="73">
        <f t="shared" si="14"/>
        <v>7</v>
      </c>
      <c r="L18" s="73">
        <f t="shared" si="14"/>
        <v>8</v>
      </c>
      <c r="M18" s="73">
        <f t="shared" si="14"/>
        <v>14</v>
      </c>
      <c r="N18" s="73">
        <f t="shared" si="14"/>
        <v>10</v>
      </c>
      <c r="O18" s="73">
        <f t="shared" si="14"/>
        <v>2</v>
      </c>
      <c r="P18" s="73">
        <f t="shared" si="14"/>
        <v>6</v>
      </c>
      <c r="Q18" s="73">
        <f t="shared" si="14"/>
        <v>12</v>
      </c>
      <c r="R18" s="73">
        <f t="shared" si="14"/>
        <v>16</v>
      </c>
      <c r="S18" s="73">
        <f t="shared" si="14"/>
        <v>18</v>
      </c>
      <c r="T18" s="73">
        <f t="shared" si="14"/>
        <v>4</v>
      </c>
      <c r="U18" s="74"/>
      <c r="Y18" s="151" t="str">
        <f t="shared" si="8"/>
        <v>HOLLANDS</v>
      </c>
      <c r="Z18" s="152">
        <f t="shared" si="8"/>
        <v>-15</v>
      </c>
      <c r="AA18" s="152">
        <f t="shared" si="9"/>
        <v>15</v>
      </c>
      <c r="AB18" s="152">
        <f>RANK(Z18,$Z$14:$Z$21,1)+COUNTIF($Z$14:Z18,Z18)-1</f>
        <v>4</v>
      </c>
      <c r="AC18" s="153"/>
      <c r="AD18" s="106">
        <v>5</v>
      </c>
      <c r="AE18" s="12" t="str">
        <f t="shared" si="10"/>
        <v>FINDLAY</v>
      </c>
      <c r="AF18" s="12">
        <f t="shared" si="11"/>
        <v>-14</v>
      </c>
      <c r="AG18" s="107">
        <f t="shared" si="12"/>
        <v>12</v>
      </c>
    </row>
    <row r="19" spans="1:33" x14ac:dyDescent="0.2">
      <c r="A19" s="64" t="s">
        <v>3</v>
      </c>
      <c r="B19" s="66">
        <f>B7</f>
        <v>18</v>
      </c>
      <c r="C19" s="1" t="str">
        <f t="shared" ref="C19:T19" si="15">IF($B$19&gt;=C18,"●","")&amp;(IF($B$19-18&gt;=C18,"●",""))</f>
        <v>●</v>
      </c>
      <c r="D19" s="1" t="str">
        <f t="shared" si="15"/>
        <v>●</v>
      </c>
      <c r="E19" s="1" t="str">
        <f t="shared" si="15"/>
        <v>●</v>
      </c>
      <c r="F19" s="1" t="str">
        <f t="shared" si="15"/>
        <v>●</v>
      </c>
      <c r="G19" s="1" t="str">
        <f t="shared" si="15"/>
        <v>●</v>
      </c>
      <c r="H19" s="1" t="str">
        <f t="shared" si="15"/>
        <v>●</v>
      </c>
      <c r="I19" s="1" t="str">
        <f t="shared" si="15"/>
        <v>●</v>
      </c>
      <c r="J19" s="1" t="str">
        <f t="shared" si="15"/>
        <v>●</v>
      </c>
      <c r="K19" s="1" t="str">
        <f t="shared" si="15"/>
        <v>●</v>
      </c>
      <c r="L19" s="1" t="str">
        <f t="shared" si="15"/>
        <v>●</v>
      </c>
      <c r="M19" s="1" t="str">
        <f t="shared" si="15"/>
        <v>●</v>
      </c>
      <c r="N19" s="1" t="str">
        <f t="shared" si="15"/>
        <v>●</v>
      </c>
      <c r="O19" s="1" t="str">
        <f t="shared" si="15"/>
        <v>●</v>
      </c>
      <c r="P19" s="1" t="str">
        <f t="shared" si="15"/>
        <v>●</v>
      </c>
      <c r="Q19" s="1" t="str">
        <f t="shared" si="15"/>
        <v>●</v>
      </c>
      <c r="R19" s="1" t="str">
        <f t="shared" si="15"/>
        <v>●</v>
      </c>
      <c r="S19" s="1" t="str">
        <f t="shared" si="15"/>
        <v>●</v>
      </c>
      <c r="T19" s="1" t="str">
        <f t="shared" si="15"/>
        <v>●</v>
      </c>
      <c r="U19" s="9"/>
      <c r="Y19" s="151" t="str">
        <f t="shared" si="8"/>
        <v>LAING</v>
      </c>
      <c r="Z19" s="152">
        <f t="shared" si="8"/>
        <v>-16</v>
      </c>
      <c r="AA19" s="152">
        <f t="shared" si="9"/>
        <v>18</v>
      </c>
      <c r="AB19" s="152">
        <f>RANK(Z19,$Z$14:$Z$21,1)+COUNTIF($Z$14:Z19,Z19)-1</f>
        <v>3</v>
      </c>
      <c r="AC19" s="153"/>
      <c r="AD19" s="106">
        <v>6</v>
      </c>
      <c r="AE19" s="12" t="str">
        <f t="shared" si="10"/>
        <v>DONOVAN</v>
      </c>
      <c r="AF19" s="12">
        <f t="shared" si="11"/>
        <v>-13</v>
      </c>
      <c r="AG19" s="107">
        <f t="shared" si="12"/>
        <v>9</v>
      </c>
    </row>
    <row r="20" spans="1:33" x14ac:dyDescent="0.2">
      <c r="A20" s="64" t="s">
        <v>4</v>
      </c>
      <c r="B20" s="66">
        <f t="shared" ref="B20:B26" si="16">B8</f>
        <v>18</v>
      </c>
      <c r="C20" s="1" t="str">
        <f t="shared" ref="C20:T20" si="17">IF($B$20&gt;=C18,"●","")&amp;(IF($B$20-18&gt;=C18,"●",""))</f>
        <v>●</v>
      </c>
      <c r="D20" s="1" t="str">
        <f t="shared" si="17"/>
        <v>●</v>
      </c>
      <c r="E20" s="1" t="str">
        <f t="shared" si="17"/>
        <v>●</v>
      </c>
      <c r="F20" s="1" t="str">
        <f t="shared" si="17"/>
        <v>●</v>
      </c>
      <c r="G20" s="1" t="str">
        <f t="shared" si="17"/>
        <v>●</v>
      </c>
      <c r="H20" s="1" t="str">
        <f t="shared" si="17"/>
        <v>●</v>
      </c>
      <c r="I20" s="1" t="str">
        <f t="shared" si="17"/>
        <v>●</v>
      </c>
      <c r="J20" s="1" t="str">
        <f t="shared" si="17"/>
        <v>●</v>
      </c>
      <c r="K20" s="1" t="str">
        <f t="shared" si="17"/>
        <v>●</v>
      </c>
      <c r="L20" s="1" t="str">
        <f t="shared" si="17"/>
        <v>●</v>
      </c>
      <c r="M20" s="1" t="str">
        <f t="shared" si="17"/>
        <v>●</v>
      </c>
      <c r="N20" s="1" t="str">
        <f t="shared" si="17"/>
        <v>●</v>
      </c>
      <c r="O20" s="1" t="str">
        <f t="shared" si="17"/>
        <v>●</v>
      </c>
      <c r="P20" s="1" t="str">
        <f t="shared" si="17"/>
        <v>●</v>
      </c>
      <c r="Q20" s="1" t="str">
        <f t="shared" si="17"/>
        <v>●</v>
      </c>
      <c r="R20" s="1" t="str">
        <f t="shared" si="17"/>
        <v>●</v>
      </c>
      <c r="S20" s="1" t="str">
        <f t="shared" si="17"/>
        <v>●</v>
      </c>
      <c r="T20" s="1" t="str">
        <f t="shared" si="17"/>
        <v>●</v>
      </c>
      <c r="U20" s="9"/>
      <c r="Y20" s="151" t="str">
        <f t="shared" si="8"/>
        <v>REILLY</v>
      </c>
      <c r="Z20" s="152">
        <f t="shared" si="8"/>
        <v>-17</v>
      </c>
      <c r="AA20" s="152">
        <f t="shared" si="9"/>
        <v>21</v>
      </c>
      <c r="AB20" s="152">
        <f>RANK(Z20,$Z$14:$Z$21,1)+COUNTIF($Z$14:Z20,Z20)-1</f>
        <v>2</v>
      </c>
      <c r="AC20" s="153"/>
      <c r="AD20" s="106">
        <v>7</v>
      </c>
      <c r="AE20" s="12" t="str">
        <f t="shared" si="10"/>
        <v>DEY</v>
      </c>
      <c r="AF20" s="12">
        <f t="shared" si="11"/>
        <v>-12</v>
      </c>
      <c r="AG20" s="107">
        <f t="shared" si="12"/>
        <v>6</v>
      </c>
    </row>
    <row r="21" spans="1:33" x14ac:dyDescent="0.2">
      <c r="A21" s="64" t="s">
        <v>5</v>
      </c>
      <c r="B21" s="66">
        <f t="shared" si="16"/>
        <v>18</v>
      </c>
      <c r="C21" s="1" t="str">
        <f t="shared" ref="C21:T21" si="18">IF($B$21&gt;=C18,"●","")&amp;(IF($B$21-18&gt;=C18,"●",""))</f>
        <v>●</v>
      </c>
      <c r="D21" s="1" t="str">
        <f t="shared" si="18"/>
        <v>●</v>
      </c>
      <c r="E21" s="1" t="str">
        <f t="shared" si="18"/>
        <v>●</v>
      </c>
      <c r="F21" s="1" t="str">
        <f t="shared" si="18"/>
        <v>●</v>
      </c>
      <c r="G21" s="1" t="str">
        <f t="shared" si="18"/>
        <v>●</v>
      </c>
      <c r="H21" s="1" t="str">
        <f t="shared" si="18"/>
        <v>●</v>
      </c>
      <c r="I21" s="1" t="str">
        <f t="shared" si="18"/>
        <v>●</v>
      </c>
      <c r="J21" s="1" t="str">
        <f t="shared" si="18"/>
        <v>●</v>
      </c>
      <c r="K21" s="1" t="str">
        <f t="shared" si="18"/>
        <v>●</v>
      </c>
      <c r="L21" s="1" t="str">
        <f t="shared" si="18"/>
        <v>●</v>
      </c>
      <c r="M21" s="1" t="str">
        <f t="shared" si="18"/>
        <v>●</v>
      </c>
      <c r="N21" s="1" t="str">
        <f t="shared" si="18"/>
        <v>●</v>
      </c>
      <c r="O21" s="1" t="str">
        <f t="shared" si="18"/>
        <v>●</v>
      </c>
      <c r="P21" s="1" t="str">
        <f t="shared" si="18"/>
        <v>●</v>
      </c>
      <c r="Q21" s="1" t="str">
        <f t="shared" si="18"/>
        <v>●</v>
      </c>
      <c r="R21" s="1" t="str">
        <f t="shared" si="18"/>
        <v>●</v>
      </c>
      <c r="S21" s="1" t="str">
        <f t="shared" si="18"/>
        <v>●</v>
      </c>
      <c r="T21" s="1" t="str">
        <f t="shared" si="18"/>
        <v>●</v>
      </c>
      <c r="U21" s="9"/>
      <c r="Y21" s="154" t="str">
        <f t="shared" si="8"/>
        <v>STONES</v>
      </c>
      <c r="Z21" s="155">
        <f t="shared" si="8"/>
        <v>-18</v>
      </c>
      <c r="AA21" s="155">
        <f t="shared" si="9"/>
        <v>24</v>
      </c>
      <c r="AB21" s="155">
        <f>RANK(Z21,$Z$14:$Z$21,1)+COUNTIF($Z$14:Z21,Z21)-1</f>
        <v>1</v>
      </c>
      <c r="AC21" s="156"/>
      <c r="AD21" s="108">
        <v>8</v>
      </c>
      <c r="AE21" s="109" t="str">
        <f t="shared" si="10"/>
        <v>BELLIS</v>
      </c>
      <c r="AF21" s="109">
        <f t="shared" si="11"/>
        <v>-11</v>
      </c>
      <c r="AG21" s="110">
        <f t="shared" si="12"/>
        <v>3</v>
      </c>
    </row>
    <row r="22" spans="1:33" x14ac:dyDescent="0.2">
      <c r="A22" s="64" t="s">
        <v>6</v>
      </c>
      <c r="B22" s="66">
        <f t="shared" si="16"/>
        <v>18</v>
      </c>
      <c r="C22" s="1" t="str">
        <f t="shared" ref="C22:T22" si="19">IF($B$22&gt;=C18,"●","")&amp;(IF($B$22-18&gt;=C18,"●",""))</f>
        <v>●</v>
      </c>
      <c r="D22" s="1" t="str">
        <f t="shared" si="19"/>
        <v>●</v>
      </c>
      <c r="E22" s="1" t="str">
        <f t="shared" si="19"/>
        <v>●</v>
      </c>
      <c r="F22" s="1" t="str">
        <f t="shared" si="19"/>
        <v>●</v>
      </c>
      <c r="G22" s="1" t="str">
        <f t="shared" si="19"/>
        <v>●</v>
      </c>
      <c r="H22" s="1" t="str">
        <f t="shared" si="19"/>
        <v>●</v>
      </c>
      <c r="I22" s="1" t="str">
        <f t="shared" si="19"/>
        <v>●</v>
      </c>
      <c r="J22" s="1" t="str">
        <f t="shared" si="19"/>
        <v>●</v>
      </c>
      <c r="K22" s="1" t="str">
        <f t="shared" si="19"/>
        <v>●</v>
      </c>
      <c r="L22" s="1" t="str">
        <f t="shared" si="19"/>
        <v>●</v>
      </c>
      <c r="M22" s="1" t="str">
        <f t="shared" si="19"/>
        <v>●</v>
      </c>
      <c r="N22" s="1" t="str">
        <f t="shared" si="19"/>
        <v>●</v>
      </c>
      <c r="O22" s="1" t="str">
        <f t="shared" si="19"/>
        <v>●</v>
      </c>
      <c r="P22" s="1" t="str">
        <f t="shared" si="19"/>
        <v>●</v>
      </c>
      <c r="Q22" s="1" t="str">
        <f t="shared" si="19"/>
        <v>●</v>
      </c>
      <c r="R22" s="1" t="str">
        <f t="shared" si="19"/>
        <v>●</v>
      </c>
      <c r="S22" s="1" t="str">
        <f t="shared" si="19"/>
        <v>●</v>
      </c>
      <c r="T22" s="1" t="str">
        <f t="shared" si="19"/>
        <v>●</v>
      </c>
      <c r="U22" s="9"/>
      <c r="Y22" s="85"/>
      <c r="Z22" s="86"/>
      <c r="AA22" s="86"/>
      <c r="AB22" s="86"/>
      <c r="AC22" s="86"/>
      <c r="AD22" s="86"/>
      <c r="AE22" s="86"/>
      <c r="AF22" s="86"/>
      <c r="AG22" s="87"/>
    </row>
    <row r="23" spans="1:33" x14ac:dyDescent="0.2">
      <c r="A23" s="64" t="s">
        <v>7</v>
      </c>
      <c r="B23" s="66">
        <f t="shared" si="16"/>
        <v>18</v>
      </c>
      <c r="C23" s="1" t="str">
        <f t="shared" ref="C23:T23" si="20">IF($B$23&gt;=C18,"●","")&amp;(IF($B$23-18&gt;=C18,"●",""))</f>
        <v>●</v>
      </c>
      <c r="D23" s="1" t="str">
        <f t="shared" si="20"/>
        <v>●</v>
      </c>
      <c r="E23" s="1" t="str">
        <f t="shared" si="20"/>
        <v>●</v>
      </c>
      <c r="F23" s="1" t="str">
        <f t="shared" si="20"/>
        <v>●</v>
      </c>
      <c r="G23" s="1" t="str">
        <f t="shared" si="20"/>
        <v>●</v>
      </c>
      <c r="H23" s="1" t="str">
        <f t="shared" si="20"/>
        <v>●</v>
      </c>
      <c r="I23" s="1" t="str">
        <f t="shared" si="20"/>
        <v>●</v>
      </c>
      <c r="J23" s="1" t="str">
        <f t="shared" si="20"/>
        <v>●</v>
      </c>
      <c r="K23" s="1" t="str">
        <f t="shared" si="20"/>
        <v>●</v>
      </c>
      <c r="L23" s="1" t="str">
        <f t="shared" si="20"/>
        <v>●</v>
      </c>
      <c r="M23" s="1" t="str">
        <f t="shared" si="20"/>
        <v>●</v>
      </c>
      <c r="N23" s="1" t="str">
        <f t="shared" si="20"/>
        <v>●</v>
      </c>
      <c r="O23" s="1" t="str">
        <f t="shared" si="20"/>
        <v>●</v>
      </c>
      <c r="P23" s="1" t="str">
        <f t="shared" si="20"/>
        <v>●</v>
      </c>
      <c r="Q23" s="1" t="str">
        <f t="shared" si="20"/>
        <v>●</v>
      </c>
      <c r="R23" s="1" t="str">
        <f t="shared" si="20"/>
        <v>●</v>
      </c>
      <c r="S23" s="1" t="str">
        <f t="shared" si="20"/>
        <v>●</v>
      </c>
      <c r="T23" s="1" t="str">
        <f t="shared" si="20"/>
        <v>●</v>
      </c>
      <c r="U23" s="9"/>
    </row>
    <row r="24" spans="1:33" x14ac:dyDescent="0.2">
      <c r="A24" s="64" t="s">
        <v>8</v>
      </c>
      <c r="B24" s="66">
        <f t="shared" si="16"/>
        <v>18</v>
      </c>
      <c r="C24" s="1" t="str">
        <f t="shared" ref="C24:T24" si="21">IF($B$24&gt;=C18,"●","")&amp;(IF($B$24-18&gt;=C18,"●",""))</f>
        <v>●</v>
      </c>
      <c r="D24" s="1" t="str">
        <f t="shared" si="21"/>
        <v>●</v>
      </c>
      <c r="E24" s="1" t="str">
        <f t="shared" si="21"/>
        <v>●</v>
      </c>
      <c r="F24" s="1" t="str">
        <f t="shared" si="21"/>
        <v>●</v>
      </c>
      <c r="G24" s="1" t="str">
        <f t="shared" si="21"/>
        <v>●</v>
      </c>
      <c r="H24" s="1" t="str">
        <f t="shared" si="21"/>
        <v>●</v>
      </c>
      <c r="I24" s="1" t="str">
        <f t="shared" si="21"/>
        <v>●</v>
      </c>
      <c r="J24" s="1" t="str">
        <f t="shared" si="21"/>
        <v>●</v>
      </c>
      <c r="K24" s="1" t="str">
        <f t="shared" si="21"/>
        <v>●</v>
      </c>
      <c r="L24" s="1" t="str">
        <f t="shared" si="21"/>
        <v>●</v>
      </c>
      <c r="M24" s="1" t="str">
        <f t="shared" si="21"/>
        <v>●</v>
      </c>
      <c r="N24" s="1" t="str">
        <f t="shared" si="21"/>
        <v>●</v>
      </c>
      <c r="O24" s="1" t="str">
        <f t="shared" si="21"/>
        <v>●</v>
      </c>
      <c r="P24" s="1" t="str">
        <f t="shared" si="21"/>
        <v>●</v>
      </c>
      <c r="Q24" s="1" t="str">
        <f t="shared" si="21"/>
        <v>●</v>
      </c>
      <c r="R24" s="1" t="str">
        <f t="shared" si="21"/>
        <v>●</v>
      </c>
      <c r="S24" s="1" t="str">
        <f t="shared" si="21"/>
        <v>●</v>
      </c>
      <c r="T24" s="1" t="str">
        <f t="shared" si="21"/>
        <v>●</v>
      </c>
      <c r="U24" s="9"/>
    </row>
    <row r="25" spans="1:33" x14ac:dyDescent="0.2">
      <c r="A25" s="64" t="s">
        <v>9</v>
      </c>
      <c r="B25" s="66">
        <f t="shared" si="16"/>
        <v>18</v>
      </c>
      <c r="C25" s="1" t="str">
        <f t="shared" ref="C25:T25" si="22">IF($B$25&gt;=C18,"●","")&amp;(IF($B$25-18&gt;=C18,"●",""))</f>
        <v>●</v>
      </c>
      <c r="D25" s="1" t="str">
        <f t="shared" si="22"/>
        <v>●</v>
      </c>
      <c r="E25" s="1" t="str">
        <f t="shared" si="22"/>
        <v>●</v>
      </c>
      <c r="F25" s="1" t="str">
        <f t="shared" si="22"/>
        <v>●</v>
      </c>
      <c r="G25" s="1" t="str">
        <f t="shared" si="22"/>
        <v>●</v>
      </c>
      <c r="H25" s="1" t="str">
        <f t="shared" si="22"/>
        <v>●</v>
      </c>
      <c r="I25" s="1" t="str">
        <f t="shared" si="22"/>
        <v>●</v>
      </c>
      <c r="J25" s="1" t="str">
        <f t="shared" si="22"/>
        <v>●</v>
      </c>
      <c r="K25" s="1" t="str">
        <f t="shared" si="22"/>
        <v>●</v>
      </c>
      <c r="L25" s="1" t="str">
        <f t="shared" si="22"/>
        <v>●</v>
      </c>
      <c r="M25" s="1" t="str">
        <f t="shared" si="22"/>
        <v>●</v>
      </c>
      <c r="N25" s="1" t="str">
        <f t="shared" si="22"/>
        <v>●</v>
      </c>
      <c r="O25" s="1" t="str">
        <f t="shared" si="22"/>
        <v>●</v>
      </c>
      <c r="P25" s="1" t="str">
        <f t="shared" si="22"/>
        <v>●</v>
      </c>
      <c r="Q25" s="1" t="str">
        <f t="shared" si="22"/>
        <v>●</v>
      </c>
      <c r="R25" s="1" t="str">
        <f t="shared" si="22"/>
        <v>●</v>
      </c>
      <c r="S25" s="1" t="str">
        <f t="shared" si="22"/>
        <v>●</v>
      </c>
      <c r="T25" s="1" t="str">
        <f t="shared" si="22"/>
        <v>●</v>
      </c>
      <c r="U25" s="9"/>
    </row>
    <row r="26" spans="1:33" x14ac:dyDescent="0.2">
      <c r="A26" s="67" t="s">
        <v>10</v>
      </c>
      <c r="B26" s="66">
        <f t="shared" si="16"/>
        <v>18</v>
      </c>
      <c r="C26" s="6" t="str">
        <f t="shared" ref="C26:T26" si="23">IF($B$26&gt;=C18,"●","")&amp;(IF($B$26-18&gt;=C18,"●",""))</f>
        <v>●</v>
      </c>
      <c r="D26" s="6" t="str">
        <f t="shared" si="23"/>
        <v>●</v>
      </c>
      <c r="E26" s="6" t="str">
        <f t="shared" si="23"/>
        <v>●</v>
      </c>
      <c r="F26" s="6" t="str">
        <f t="shared" si="23"/>
        <v>●</v>
      </c>
      <c r="G26" s="6" t="str">
        <f t="shared" si="23"/>
        <v>●</v>
      </c>
      <c r="H26" s="6" t="str">
        <f t="shared" si="23"/>
        <v>●</v>
      </c>
      <c r="I26" s="6" t="str">
        <f t="shared" si="23"/>
        <v>●</v>
      </c>
      <c r="J26" s="6" t="str">
        <f t="shared" si="23"/>
        <v>●</v>
      </c>
      <c r="K26" s="6" t="str">
        <f t="shared" si="23"/>
        <v>●</v>
      </c>
      <c r="L26" s="6" t="str">
        <f t="shared" si="23"/>
        <v>●</v>
      </c>
      <c r="M26" s="6" t="str">
        <f t="shared" si="23"/>
        <v>●</v>
      </c>
      <c r="N26" s="6" t="str">
        <f t="shared" si="23"/>
        <v>●</v>
      </c>
      <c r="O26" s="6" t="str">
        <f t="shared" si="23"/>
        <v>●</v>
      </c>
      <c r="P26" s="6" t="str">
        <f t="shared" si="23"/>
        <v>●</v>
      </c>
      <c r="Q26" s="6" t="str">
        <f t="shared" si="23"/>
        <v>●</v>
      </c>
      <c r="R26" s="6" t="str">
        <f t="shared" si="23"/>
        <v>●</v>
      </c>
      <c r="S26" s="6" t="str">
        <f t="shared" si="23"/>
        <v>●</v>
      </c>
      <c r="T26" s="6" t="str">
        <f t="shared" si="23"/>
        <v>●</v>
      </c>
      <c r="U26" s="10"/>
    </row>
    <row r="28" spans="1:33" x14ac:dyDescent="0.2">
      <c r="A28" s="62"/>
      <c r="B28" s="76"/>
      <c r="C28" s="70">
        <v>1</v>
      </c>
      <c r="D28" s="70">
        <v>2</v>
      </c>
      <c r="E28" s="70">
        <v>3</v>
      </c>
      <c r="F28" s="70">
        <v>4</v>
      </c>
      <c r="G28" s="70">
        <v>5</v>
      </c>
      <c r="H28" s="70">
        <v>6</v>
      </c>
      <c r="I28" s="70">
        <v>7</v>
      </c>
      <c r="J28" s="70">
        <v>8</v>
      </c>
      <c r="K28" s="70">
        <v>9</v>
      </c>
      <c r="L28" s="70">
        <v>10</v>
      </c>
      <c r="M28" s="70">
        <v>11</v>
      </c>
      <c r="N28" s="70">
        <v>12</v>
      </c>
      <c r="O28" s="70">
        <v>13</v>
      </c>
      <c r="P28" s="70">
        <v>14</v>
      </c>
      <c r="Q28" s="70">
        <v>15</v>
      </c>
      <c r="R28" s="70">
        <v>16</v>
      </c>
      <c r="S28" s="70">
        <v>17</v>
      </c>
      <c r="T28" s="70">
        <v>18</v>
      </c>
      <c r="U28" s="71" t="s">
        <v>2</v>
      </c>
      <c r="V28" s="75" t="s">
        <v>18</v>
      </c>
    </row>
    <row r="29" spans="1:33" x14ac:dyDescent="0.2">
      <c r="A29" s="64"/>
      <c r="B29" s="65"/>
      <c r="C29" s="72">
        <f>C17</f>
        <v>4</v>
      </c>
      <c r="D29" s="72">
        <f t="shared" ref="D29:T29" si="24">D17</f>
        <v>5</v>
      </c>
      <c r="E29" s="72">
        <f t="shared" si="24"/>
        <v>3</v>
      </c>
      <c r="F29" s="72">
        <f t="shared" si="24"/>
        <v>5</v>
      </c>
      <c r="G29" s="72">
        <f t="shared" si="24"/>
        <v>4</v>
      </c>
      <c r="H29" s="72">
        <f t="shared" si="24"/>
        <v>4</v>
      </c>
      <c r="I29" s="72">
        <f t="shared" si="24"/>
        <v>3</v>
      </c>
      <c r="J29" s="72">
        <f t="shared" si="24"/>
        <v>4</v>
      </c>
      <c r="K29" s="72">
        <f t="shared" si="24"/>
        <v>4</v>
      </c>
      <c r="L29" s="72">
        <f t="shared" si="24"/>
        <v>4</v>
      </c>
      <c r="M29" s="72">
        <f t="shared" si="24"/>
        <v>4</v>
      </c>
      <c r="N29" s="72">
        <f t="shared" si="24"/>
        <v>5</v>
      </c>
      <c r="O29" s="72">
        <f t="shared" si="24"/>
        <v>4</v>
      </c>
      <c r="P29" s="72">
        <f t="shared" si="24"/>
        <v>3</v>
      </c>
      <c r="Q29" s="72">
        <f t="shared" si="24"/>
        <v>4</v>
      </c>
      <c r="R29" s="72">
        <f t="shared" si="24"/>
        <v>4</v>
      </c>
      <c r="S29" s="72">
        <f t="shared" si="24"/>
        <v>3</v>
      </c>
      <c r="T29" s="72">
        <f t="shared" si="24"/>
        <v>5</v>
      </c>
      <c r="U29" s="65"/>
    </row>
    <row r="30" spans="1:33" x14ac:dyDescent="0.2">
      <c r="A30" s="64"/>
      <c r="B30" s="65"/>
      <c r="C30" s="73">
        <f>C18</f>
        <v>9</v>
      </c>
      <c r="D30" s="73">
        <f t="shared" ref="D30:T30" si="25">D18</f>
        <v>5</v>
      </c>
      <c r="E30" s="73">
        <f t="shared" si="25"/>
        <v>15</v>
      </c>
      <c r="F30" s="73">
        <f t="shared" si="25"/>
        <v>11</v>
      </c>
      <c r="G30" s="73">
        <f t="shared" si="25"/>
        <v>3</v>
      </c>
      <c r="H30" s="73">
        <f t="shared" si="25"/>
        <v>1</v>
      </c>
      <c r="I30" s="73">
        <f t="shared" si="25"/>
        <v>17</v>
      </c>
      <c r="J30" s="73">
        <f t="shared" si="25"/>
        <v>13</v>
      </c>
      <c r="K30" s="73">
        <f t="shared" si="25"/>
        <v>7</v>
      </c>
      <c r="L30" s="73">
        <f t="shared" si="25"/>
        <v>8</v>
      </c>
      <c r="M30" s="73">
        <f t="shared" si="25"/>
        <v>14</v>
      </c>
      <c r="N30" s="73">
        <f t="shared" si="25"/>
        <v>10</v>
      </c>
      <c r="O30" s="73">
        <f t="shared" si="25"/>
        <v>2</v>
      </c>
      <c r="P30" s="73">
        <f t="shared" si="25"/>
        <v>6</v>
      </c>
      <c r="Q30" s="73">
        <f t="shared" si="25"/>
        <v>12</v>
      </c>
      <c r="R30" s="73">
        <f t="shared" si="25"/>
        <v>16</v>
      </c>
      <c r="S30" s="73">
        <f t="shared" si="25"/>
        <v>18</v>
      </c>
      <c r="T30" s="73">
        <f t="shared" si="25"/>
        <v>4</v>
      </c>
      <c r="U30" s="74"/>
    </row>
    <row r="31" spans="1:33" x14ac:dyDescent="0.2">
      <c r="A31" s="64" t="s">
        <v>3</v>
      </c>
      <c r="B31" s="66">
        <v>8</v>
      </c>
      <c r="C31" s="1">
        <f t="shared" ref="C31:T31" si="26">C7+IF(C19="●",-1)+IF(C19="●●",-2)</f>
        <v>6</v>
      </c>
      <c r="D31" s="1">
        <f t="shared" si="26"/>
        <v>-1</v>
      </c>
      <c r="E31" s="1">
        <f t="shared" si="26"/>
        <v>-1</v>
      </c>
      <c r="F31" s="1">
        <f t="shared" si="26"/>
        <v>-1</v>
      </c>
      <c r="G31" s="1">
        <f t="shared" si="26"/>
        <v>-1</v>
      </c>
      <c r="H31" s="1">
        <f t="shared" si="26"/>
        <v>-1</v>
      </c>
      <c r="I31" s="1">
        <f t="shared" si="26"/>
        <v>-1</v>
      </c>
      <c r="J31" s="1">
        <f t="shared" si="26"/>
        <v>-1</v>
      </c>
      <c r="K31" s="1">
        <f t="shared" si="26"/>
        <v>-1</v>
      </c>
      <c r="L31" s="1">
        <f t="shared" si="26"/>
        <v>-1</v>
      </c>
      <c r="M31" s="1">
        <f t="shared" si="26"/>
        <v>-1</v>
      </c>
      <c r="N31" s="1">
        <f t="shared" si="26"/>
        <v>-1</v>
      </c>
      <c r="O31" s="1">
        <f t="shared" si="26"/>
        <v>-1</v>
      </c>
      <c r="P31" s="1">
        <f t="shared" si="26"/>
        <v>-1</v>
      </c>
      <c r="Q31" s="1">
        <f t="shared" si="26"/>
        <v>-1</v>
      </c>
      <c r="R31" s="1">
        <f t="shared" si="26"/>
        <v>-1</v>
      </c>
      <c r="S31" s="1">
        <f t="shared" si="26"/>
        <v>-1</v>
      </c>
      <c r="T31" s="1">
        <f t="shared" si="26"/>
        <v>-1</v>
      </c>
      <c r="U31" s="9">
        <f>SUM(C31:T31)</f>
        <v>-11</v>
      </c>
    </row>
    <row r="32" spans="1:33" x14ac:dyDescent="0.2">
      <c r="A32" s="64" t="s">
        <v>4</v>
      </c>
      <c r="B32" s="66">
        <v>17</v>
      </c>
      <c r="C32" s="1">
        <f t="shared" ref="C32:T32" si="27">C8+IF(C20="●",-1)+IF(C20="●●",-2)</f>
        <v>-1</v>
      </c>
      <c r="D32" s="1">
        <f t="shared" si="27"/>
        <v>5</v>
      </c>
      <c r="E32" s="1">
        <f t="shared" si="27"/>
        <v>-1</v>
      </c>
      <c r="F32" s="1">
        <f t="shared" si="27"/>
        <v>-1</v>
      </c>
      <c r="G32" s="1">
        <f t="shared" si="27"/>
        <v>-1</v>
      </c>
      <c r="H32" s="1">
        <f t="shared" si="27"/>
        <v>-1</v>
      </c>
      <c r="I32" s="1">
        <f t="shared" si="27"/>
        <v>-1</v>
      </c>
      <c r="J32" s="1">
        <f t="shared" si="27"/>
        <v>-1</v>
      </c>
      <c r="K32" s="1">
        <f t="shared" si="27"/>
        <v>-1</v>
      </c>
      <c r="L32" s="1">
        <f t="shared" si="27"/>
        <v>-1</v>
      </c>
      <c r="M32" s="1">
        <f t="shared" si="27"/>
        <v>-1</v>
      </c>
      <c r="N32" s="1">
        <f t="shared" si="27"/>
        <v>-1</v>
      </c>
      <c r="O32" s="1">
        <f t="shared" si="27"/>
        <v>-1</v>
      </c>
      <c r="P32" s="1">
        <f t="shared" si="27"/>
        <v>-1</v>
      </c>
      <c r="Q32" s="1">
        <f t="shared" si="27"/>
        <v>-1</v>
      </c>
      <c r="R32" s="1">
        <f t="shared" si="27"/>
        <v>-1</v>
      </c>
      <c r="S32" s="1">
        <f t="shared" si="27"/>
        <v>-1</v>
      </c>
      <c r="T32" s="1">
        <f t="shared" si="27"/>
        <v>-1</v>
      </c>
      <c r="U32" s="9">
        <f t="shared" ref="U32:U38" si="28">SUM(C32:T32)</f>
        <v>-12</v>
      </c>
    </row>
    <row r="33" spans="1:21" x14ac:dyDescent="0.2">
      <c r="A33" s="64" t="s">
        <v>5</v>
      </c>
      <c r="B33" s="66">
        <v>12</v>
      </c>
      <c r="C33" s="1">
        <f t="shared" ref="C33:T33" si="29">C9+IF(C21="●",-1)+IF(C21="●●",-2)</f>
        <v>-1</v>
      </c>
      <c r="D33" s="1">
        <f t="shared" si="29"/>
        <v>-1</v>
      </c>
      <c r="E33" s="1">
        <f t="shared" si="29"/>
        <v>4</v>
      </c>
      <c r="F33" s="1">
        <f t="shared" si="29"/>
        <v>-1</v>
      </c>
      <c r="G33" s="1">
        <f t="shared" si="29"/>
        <v>-1</v>
      </c>
      <c r="H33" s="1">
        <f t="shared" si="29"/>
        <v>-1</v>
      </c>
      <c r="I33" s="1">
        <f t="shared" si="29"/>
        <v>-1</v>
      </c>
      <c r="J33" s="1">
        <f t="shared" si="29"/>
        <v>-1</v>
      </c>
      <c r="K33" s="1">
        <f t="shared" si="29"/>
        <v>-1</v>
      </c>
      <c r="L33" s="1">
        <f t="shared" si="29"/>
        <v>-1</v>
      </c>
      <c r="M33" s="1">
        <f t="shared" si="29"/>
        <v>-1</v>
      </c>
      <c r="N33" s="1">
        <f t="shared" si="29"/>
        <v>-1</v>
      </c>
      <c r="O33" s="1">
        <f t="shared" si="29"/>
        <v>-1</v>
      </c>
      <c r="P33" s="1">
        <f t="shared" si="29"/>
        <v>-1</v>
      </c>
      <c r="Q33" s="1">
        <f t="shared" si="29"/>
        <v>-1</v>
      </c>
      <c r="R33" s="1">
        <f t="shared" si="29"/>
        <v>-1</v>
      </c>
      <c r="S33" s="1">
        <f t="shared" si="29"/>
        <v>-1</v>
      </c>
      <c r="T33" s="1">
        <f t="shared" si="29"/>
        <v>-1</v>
      </c>
      <c r="U33" s="9">
        <f t="shared" si="28"/>
        <v>-13</v>
      </c>
    </row>
    <row r="34" spans="1:21" x14ac:dyDescent="0.2">
      <c r="A34" s="64" t="s">
        <v>6</v>
      </c>
      <c r="B34" s="66">
        <v>13</v>
      </c>
      <c r="C34" s="1">
        <f t="shared" ref="C34:T34" si="30">C10+IF(C22="●",-1)+IF(C22="●●",-2)</f>
        <v>-1</v>
      </c>
      <c r="D34" s="1">
        <f t="shared" si="30"/>
        <v>-1</v>
      </c>
      <c r="E34" s="1">
        <f t="shared" si="30"/>
        <v>-1</v>
      </c>
      <c r="F34" s="1">
        <f t="shared" si="30"/>
        <v>3</v>
      </c>
      <c r="G34" s="1">
        <f t="shared" si="30"/>
        <v>-1</v>
      </c>
      <c r="H34" s="1">
        <f t="shared" si="30"/>
        <v>-1</v>
      </c>
      <c r="I34" s="1">
        <f t="shared" si="30"/>
        <v>-1</v>
      </c>
      <c r="J34" s="1">
        <f t="shared" si="30"/>
        <v>-1</v>
      </c>
      <c r="K34" s="1">
        <f t="shared" si="30"/>
        <v>-1</v>
      </c>
      <c r="L34" s="1">
        <f t="shared" si="30"/>
        <v>-1</v>
      </c>
      <c r="M34" s="1">
        <f t="shared" si="30"/>
        <v>-1</v>
      </c>
      <c r="N34" s="1">
        <f t="shared" si="30"/>
        <v>-1</v>
      </c>
      <c r="O34" s="1">
        <f t="shared" si="30"/>
        <v>-1</v>
      </c>
      <c r="P34" s="1">
        <f t="shared" si="30"/>
        <v>-1</v>
      </c>
      <c r="Q34" s="1">
        <f t="shared" si="30"/>
        <v>-1</v>
      </c>
      <c r="R34" s="1">
        <f t="shared" si="30"/>
        <v>-1</v>
      </c>
      <c r="S34" s="1">
        <f t="shared" si="30"/>
        <v>-1</v>
      </c>
      <c r="T34" s="1">
        <f t="shared" si="30"/>
        <v>-1</v>
      </c>
      <c r="U34" s="9">
        <f t="shared" si="28"/>
        <v>-14</v>
      </c>
    </row>
    <row r="35" spans="1:21" x14ac:dyDescent="0.2">
      <c r="A35" s="64" t="s">
        <v>7</v>
      </c>
      <c r="B35" s="66">
        <v>9</v>
      </c>
      <c r="C35" s="1">
        <f t="shared" ref="C35:T35" si="31">C11+IF(C23="●",-1)+IF(C23="●●",-2)</f>
        <v>-1</v>
      </c>
      <c r="D35" s="1">
        <f t="shared" si="31"/>
        <v>-1</v>
      </c>
      <c r="E35" s="1">
        <f t="shared" si="31"/>
        <v>-1</v>
      </c>
      <c r="F35" s="1">
        <f t="shared" si="31"/>
        <v>-1</v>
      </c>
      <c r="G35" s="1">
        <f t="shared" si="31"/>
        <v>2</v>
      </c>
      <c r="H35" s="1">
        <f t="shared" si="31"/>
        <v>-1</v>
      </c>
      <c r="I35" s="1">
        <f t="shared" si="31"/>
        <v>-1</v>
      </c>
      <c r="J35" s="1">
        <f t="shared" si="31"/>
        <v>-1</v>
      </c>
      <c r="K35" s="1">
        <f t="shared" si="31"/>
        <v>-1</v>
      </c>
      <c r="L35" s="1">
        <f t="shared" si="31"/>
        <v>-1</v>
      </c>
      <c r="M35" s="1">
        <f t="shared" si="31"/>
        <v>-1</v>
      </c>
      <c r="N35" s="1">
        <f t="shared" si="31"/>
        <v>-1</v>
      </c>
      <c r="O35" s="1">
        <f t="shared" si="31"/>
        <v>-1</v>
      </c>
      <c r="P35" s="1">
        <f t="shared" si="31"/>
        <v>-1</v>
      </c>
      <c r="Q35" s="1">
        <f t="shared" si="31"/>
        <v>-1</v>
      </c>
      <c r="R35" s="1">
        <f t="shared" si="31"/>
        <v>-1</v>
      </c>
      <c r="S35" s="1">
        <f t="shared" si="31"/>
        <v>-1</v>
      </c>
      <c r="T35" s="1">
        <f t="shared" si="31"/>
        <v>-1</v>
      </c>
      <c r="U35" s="9">
        <f t="shared" si="28"/>
        <v>-15</v>
      </c>
    </row>
    <row r="36" spans="1:21" x14ac:dyDescent="0.2">
      <c r="A36" s="64" t="s">
        <v>8</v>
      </c>
      <c r="B36" s="66">
        <v>3</v>
      </c>
      <c r="C36" s="1">
        <f t="shared" ref="C36:T36" si="32">C12+IF(C24="●",-1)+IF(C24="●●",-2)</f>
        <v>-1</v>
      </c>
      <c r="D36" s="1">
        <f t="shared" si="32"/>
        <v>-1</v>
      </c>
      <c r="E36" s="1">
        <f t="shared" si="32"/>
        <v>-1</v>
      </c>
      <c r="F36" s="1">
        <f t="shared" si="32"/>
        <v>-1</v>
      </c>
      <c r="G36" s="1">
        <f t="shared" si="32"/>
        <v>-1</v>
      </c>
      <c r="H36" s="1">
        <f t="shared" si="32"/>
        <v>1</v>
      </c>
      <c r="I36" s="1">
        <f t="shared" si="32"/>
        <v>-1</v>
      </c>
      <c r="J36" s="1">
        <f t="shared" si="32"/>
        <v>-1</v>
      </c>
      <c r="K36" s="1">
        <f t="shared" si="32"/>
        <v>-1</v>
      </c>
      <c r="L36" s="1">
        <f t="shared" si="32"/>
        <v>-1</v>
      </c>
      <c r="M36" s="1">
        <f t="shared" si="32"/>
        <v>-1</v>
      </c>
      <c r="N36" s="1">
        <f t="shared" si="32"/>
        <v>-1</v>
      </c>
      <c r="O36" s="1">
        <f t="shared" si="32"/>
        <v>-1</v>
      </c>
      <c r="P36" s="1">
        <f t="shared" si="32"/>
        <v>-1</v>
      </c>
      <c r="Q36" s="1">
        <f t="shared" si="32"/>
        <v>-1</v>
      </c>
      <c r="R36" s="1">
        <f t="shared" si="32"/>
        <v>-1</v>
      </c>
      <c r="S36" s="1">
        <f t="shared" si="32"/>
        <v>-1</v>
      </c>
      <c r="T36" s="1">
        <f t="shared" si="32"/>
        <v>-1</v>
      </c>
      <c r="U36" s="9">
        <f t="shared" si="28"/>
        <v>-16</v>
      </c>
    </row>
    <row r="37" spans="1:21" x14ac:dyDescent="0.2">
      <c r="A37" s="64" t="s">
        <v>9</v>
      </c>
      <c r="B37" s="66">
        <v>3</v>
      </c>
      <c r="C37" s="1">
        <f t="shared" ref="C37:T37" si="33">C13+IF(C25="●",-1)+IF(C25="●●",-2)</f>
        <v>-1</v>
      </c>
      <c r="D37" s="1">
        <f t="shared" si="33"/>
        <v>-1</v>
      </c>
      <c r="E37" s="1">
        <f t="shared" si="33"/>
        <v>-1</v>
      </c>
      <c r="F37" s="1">
        <f t="shared" si="33"/>
        <v>-1</v>
      </c>
      <c r="G37" s="1">
        <f t="shared" si="33"/>
        <v>-1</v>
      </c>
      <c r="H37" s="1">
        <f t="shared" si="33"/>
        <v>-1</v>
      </c>
      <c r="I37" s="1">
        <f t="shared" si="33"/>
        <v>0</v>
      </c>
      <c r="J37" s="1">
        <f t="shared" si="33"/>
        <v>-1</v>
      </c>
      <c r="K37" s="1">
        <f t="shared" si="33"/>
        <v>-1</v>
      </c>
      <c r="L37" s="1">
        <f t="shared" si="33"/>
        <v>-1</v>
      </c>
      <c r="M37" s="1">
        <f t="shared" si="33"/>
        <v>-1</v>
      </c>
      <c r="N37" s="1">
        <f t="shared" si="33"/>
        <v>-1</v>
      </c>
      <c r="O37" s="1">
        <f t="shared" si="33"/>
        <v>-1</v>
      </c>
      <c r="P37" s="1">
        <f t="shared" si="33"/>
        <v>-1</v>
      </c>
      <c r="Q37" s="1">
        <f t="shared" si="33"/>
        <v>-1</v>
      </c>
      <c r="R37" s="1">
        <f t="shared" si="33"/>
        <v>-1</v>
      </c>
      <c r="S37" s="1">
        <f t="shared" si="33"/>
        <v>-1</v>
      </c>
      <c r="T37" s="1">
        <f t="shared" si="33"/>
        <v>-1</v>
      </c>
      <c r="U37" s="9">
        <f t="shared" si="28"/>
        <v>-17</v>
      </c>
    </row>
    <row r="38" spans="1:21" x14ac:dyDescent="0.2">
      <c r="A38" s="67" t="s">
        <v>10</v>
      </c>
      <c r="B38" s="68">
        <v>15</v>
      </c>
      <c r="C38" s="6">
        <f t="shared" ref="C38:T38" si="34">C14+IF(C26="●",-1)+IF(C26="●●",-2)</f>
        <v>-1</v>
      </c>
      <c r="D38" s="6">
        <f t="shared" si="34"/>
        <v>-1</v>
      </c>
      <c r="E38" s="6">
        <f t="shared" si="34"/>
        <v>-1</v>
      </c>
      <c r="F38" s="6">
        <f t="shared" si="34"/>
        <v>-1</v>
      </c>
      <c r="G38" s="6">
        <f t="shared" si="34"/>
        <v>-1</v>
      </c>
      <c r="H38" s="6">
        <f t="shared" si="34"/>
        <v>-1</v>
      </c>
      <c r="I38" s="6">
        <f t="shared" si="34"/>
        <v>-1</v>
      </c>
      <c r="J38" s="6">
        <f t="shared" si="34"/>
        <v>-1</v>
      </c>
      <c r="K38" s="6">
        <f t="shared" si="34"/>
        <v>-1</v>
      </c>
      <c r="L38" s="6">
        <f t="shared" si="34"/>
        <v>-1</v>
      </c>
      <c r="M38" s="6">
        <f t="shared" si="34"/>
        <v>-1</v>
      </c>
      <c r="N38" s="6">
        <f t="shared" si="34"/>
        <v>-1</v>
      </c>
      <c r="O38" s="6">
        <f t="shared" si="34"/>
        <v>-1</v>
      </c>
      <c r="P38" s="6">
        <f t="shared" si="34"/>
        <v>-1</v>
      </c>
      <c r="Q38" s="6">
        <f t="shared" si="34"/>
        <v>-1</v>
      </c>
      <c r="R38" s="6">
        <f t="shared" si="34"/>
        <v>-1</v>
      </c>
      <c r="S38" s="6">
        <f t="shared" si="34"/>
        <v>-1</v>
      </c>
      <c r="T38" s="6">
        <f t="shared" si="34"/>
        <v>-1</v>
      </c>
      <c r="U38" s="10">
        <f t="shared" si="28"/>
        <v>-18</v>
      </c>
    </row>
  </sheetData>
  <mergeCells count="1">
    <mergeCell ref="Y1:A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D298-E3A1-434A-9E81-39A25DC2934D}">
  <dimension ref="A1:AP90"/>
  <sheetViews>
    <sheetView topLeftCell="D59" zoomScale="91" zoomScaleNormal="69" workbookViewId="0">
      <selection activeCell="AC82" sqref="AC82"/>
    </sheetView>
  </sheetViews>
  <sheetFormatPr baseColWidth="10" defaultRowHeight="15" x14ac:dyDescent="0.2"/>
  <cols>
    <col min="5" max="5" width="14" customWidth="1"/>
  </cols>
  <sheetData>
    <row r="1" spans="1:42" x14ac:dyDescent="0.2">
      <c r="A1" s="196" t="s">
        <v>45</v>
      </c>
      <c r="B1" s="197"/>
      <c r="C1" s="197"/>
      <c r="D1" s="198"/>
      <c r="E1" s="199"/>
      <c r="F1" s="196" t="s">
        <v>46</v>
      </c>
      <c r="G1" s="197"/>
      <c r="H1" s="197"/>
      <c r="I1" s="198"/>
      <c r="J1" s="199"/>
      <c r="K1" s="196" t="s">
        <v>47</v>
      </c>
      <c r="L1" s="197"/>
      <c r="M1" s="197"/>
      <c r="N1" s="198"/>
      <c r="O1" s="199"/>
      <c r="P1" s="196" t="s">
        <v>48</v>
      </c>
      <c r="Q1" s="197"/>
      <c r="R1" s="197"/>
      <c r="S1" s="198"/>
      <c r="T1" s="199"/>
      <c r="U1" s="196" t="s">
        <v>49</v>
      </c>
      <c r="V1" s="197"/>
      <c r="W1" s="197"/>
      <c r="X1" s="198"/>
      <c r="Y1" s="199"/>
      <c r="Z1" s="196" t="s">
        <v>50</v>
      </c>
      <c r="AA1" s="197"/>
      <c r="AB1" s="197"/>
      <c r="AC1" s="198"/>
      <c r="AD1" s="199"/>
      <c r="AE1" s="199"/>
      <c r="AF1" s="199"/>
      <c r="AG1" s="199"/>
    </row>
    <row r="2" spans="1:42" x14ac:dyDescent="0.2">
      <c r="A2" s="196">
        <f>'RND 1 STBL'!AD14</f>
        <v>1</v>
      </c>
      <c r="B2" s="197" t="str">
        <f>'RND 1 STBL'!AE14</f>
        <v>STONES</v>
      </c>
      <c r="C2" s="197">
        <f>'RND 1 STBL'!AF14</f>
        <v>49</v>
      </c>
      <c r="D2" s="198">
        <f>'RND 1 STBL'!AG14</f>
        <v>24</v>
      </c>
      <c r="E2" s="199"/>
      <c r="F2" s="196">
        <f>'RND 2 MP'!AD14</f>
        <v>1</v>
      </c>
      <c r="G2" s="197" t="str">
        <f>'RND 2 MP'!AE14</f>
        <v>FINDLAY</v>
      </c>
      <c r="H2" s="197">
        <f>'RND 2 MP'!AF14</f>
        <v>39</v>
      </c>
      <c r="I2" s="198">
        <f>'RND 2 MP'!AG14</f>
        <v>22.5</v>
      </c>
      <c r="J2" s="199"/>
      <c r="K2" s="196">
        <f>'RND 3 MSTB'!AD14</f>
        <v>1</v>
      </c>
      <c r="L2" s="197" t="str">
        <f>'RND 3 MSTB'!AE14</f>
        <v>STONES</v>
      </c>
      <c r="M2" s="197">
        <f>'RND 3 MSTB'!AF14</f>
        <v>-6</v>
      </c>
      <c r="N2" s="198">
        <f>'RND 3 MSTB'!AG14</f>
        <v>24</v>
      </c>
      <c r="O2" s="199"/>
      <c r="P2" s="196">
        <f>'RND 4 STBL'!AD14</f>
        <v>1</v>
      </c>
      <c r="Q2" s="197" t="str">
        <f>'RND 4 STBL'!AE14</f>
        <v>BELLIS</v>
      </c>
      <c r="R2" s="197">
        <f>'RND 4 STBL'!AF14</f>
        <v>37</v>
      </c>
      <c r="S2" s="198">
        <f>'RND 4 STBL'!AG14</f>
        <v>24</v>
      </c>
      <c r="T2" s="199"/>
      <c r="U2" s="196">
        <f>Round5!A7</f>
        <v>1</v>
      </c>
      <c r="V2" s="197" t="str">
        <f>Round5!B7</f>
        <v>LAING</v>
      </c>
      <c r="W2" s="197">
        <f>Round5!C7</f>
        <v>54</v>
      </c>
      <c r="X2" s="198">
        <f>Round5!D7</f>
        <v>24</v>
      </c>
      <c r="Y2" s="199"/>
      <c r="Z2" s="196">
        <f>'RND 6 NET'!AD14</f>
        <v>1</v>
      </c>
      <c r="AA2" s="197" t="str">
        <f>'RND 6 NET'!AE14</f>
        <v>STONES</v>
      </c>
      <c r="AB2" s="197">
        <f>'RND 6 NET'!AF14</f>
        <v>-18</v>
      </c>
      <c r="AC2" s="198">
        <f>'RND 6 NET'!AG14</f>
        <v>24</v>
      </c>
      <c r="AD2" s="199"/>
      <c r="AE2" s="199"/>
      <c r="AF2" s="199"/>
      <c r="AG2" s="199"/>
    </row>
    <row r="3" spans="1:42" x14ac:dyDescent="0.2">
      <c r="A3" s="200">
        <f>'RND 1 STBL'!AD15</f>
        <v>2</v>
      </c>
      <c r="B3" s="199" t="str">
        <f>'RND 1 STBL'!AE15</f>
        <v>BELLIS</v>
      </c>
      <c r="C3" s="199">
        <f>'RND 1 STBL'!AF15</f>
        <v>36</v>
      </c>
      <c r="D3" s="201">
        <f>'RND 1 STBL'!AG15</f>
        <v>21</v>
      </c>
      <c r="E3" s="199"/>
      <c r="F3" s="200">
        <f>'RND 2 MP'!AD15</f>
        <v>2</v>
      </c>
      <c r="G3" s="199" t="str">
        <f>'RND 2 MP'!AE15</f>
        <v>HOLLANDS</v>
      </c>
      <c r="H3" s="199">
        <f>'RND 2 MP'!AF15</f>
        <v>39</v>
      </c>
      <c r="I3" s="201">
        <f>'RND 2 MP'!AG15</f>
        <v>22.5</v>
      </c>
      <c r="J3" s="199"/>
      <c r="K3" s="200">
        <f>'RND 3 MSTB'!AD15</f>
        <v>2</v>
      </c>
      <c r="L3" s="199" t="str">
        <f>'RND 3 MSTB'!AE15</f>
        <v>REILLY</v>
      </c>
      <c r="M3" s="199">
        <f>'RND 3 MSTB'!AF15</f>
        <v>-7</v>
      </c>
      <c r="N3" s="201">
        <f>'RND 3 MSTB'!AG15</f>
        <v>21</v>
      </c>
      <c r="O3" s="199"/>
      <c r="P3" s="200">
        <f>'RND 4 STBL'!AD15</f>
        <v>2</v>
      </c>
      <c r="Q3" s="199" t="str">
        <f>'RND 4 STBL'!AE15</f>
        <v>DEY</v>
      </c>
      <c r="R3" s="199">
        <f>'RND 4 STBL'!AF15</f>
        <v>36</v>
      </c>
      <c r="S3" s="201">
        <f>'RND 4 STBL'!AG15</f>
        <v>21</v>
      </c>
      <c r="T3" s="199"/>
      <c r="U3" s="200">
        <f>Round5!A8</f>
        <v>2</v>
      </c>
      <c r="V3" s="199" t="str">
        <f>Round5!B8</f>
        <v>FINDLAY</v>
      </c>
      <c r="W3" s="199">
        <f>Round5!C8</f>
        <v>28</v>
      </c>
      <c r="X3" s="201">
        <f>Round5!D8</f>
        <v>21</v>
      </c>
      <c r="Y3" s="199"/>
      <c r="Z3" s="200">
        <f>'RND 6 NET'!AD15</f>
        <v>2</v>
      </c>
      <c r="AA3" s="199" t="str">
        <f>'RND 6 NET'!AE15</f>
        <v>REILLY</v>
      </c>
      <c r="AB3" s="199">
        <f>'RND 6 NET'!AF15</f>
        <v>-17</v>
      </c>
      <c r="AC3" s="201">
        <f>'RND 6 NET'!AG15</f>
        <v>21</v>
      </c>
      <c r="AD3" s="199"/>
      <c r="AE3" s="199"/>
      <c r="AF3" s="199"/>
      <c r="AG3" s="199"/>
    </row>
    <row r="4" spans="1:42" x14ac:dyDescent="0.2">
      <c r="A4" s="200">
        <f>'RND 1 STBL'!AD16</f>
        <v>3</v>
      </c>
      <c r="B4" s="199" t="str">
        <f>'RND 1 STBL'!AE16</f>
        <v>REILLY</v>
      </c>
      <c r="C4" s="199">
        <f>'RND 1 STBL'!AF16</f>
        <v>25</v>
      </c>
      <c r="D4" s="201">
        <f>'RND 1 STBL'!AG16</f>
        <v>18</v>
      </c>
      <c r="E4" s="199"/>
      <c r="F4" s="200">
        <f>'RND 2 MP'!AD16</f>
        <v>3</v>
      </c>
      <c r="G4" s="199" t="str">
        <f>'RND 2 MP'!AE16</f>
        <v>DONOVAN</v>
      </c>
      <c r="H4" s="199">
        <f>'RND 2 MP'!AF16</f>
        <v>32</v>
      </c>
      <c r="I4" s="201">
        <f>'RND 2 MP'!AG16</f>
        <v>18</v>
      </c>
      <c r="J4" s="199"/>
      <c r="K4" s="200">
        <f>'RND 3 MSTB'!AD16</f>
        <v>3</v>
      </c>
      <c r="L4" s="199" t="str">
        <f>'RND 3 MSTB'!AE16</f>
        <v>LAING</v>
      </c>
      <c r="M4" s="199">
        <f>'RND 3 MSTB'!AF16</f>
        <v>-8</v>
      </c>
      <c r="N4" s="201">
        <f>'RND 3 MSTB'!AG16</f>
        <v>18</v>
      </c>
      <c r="O4" s="199"/>
      <c r="P4" s="200">
        <f>'RND 4 STBL'!AD16</f>
        <v>3</v>
      </c>
      <c r="Q4" s="199" t="str">
        <f>'RND 4 STBL'!AE16</f>
        <v>DONOVAN</v>
      </c>
      <c r="R4" s="199">
        <f>'RND 4 STBL'!AF16</f>
        <v>35</v>
      </c>
      <c r="S4" s="201">
        <f>'RND 4 STBL'!AG16</f>
        <v>10.5</v>
      </c>
      <c r="T4" s="199"/>
      <c r="U4" s="200">
        <f>Round5!A9</f>
        <v>3</v>
      </c>
      <c r="V4" s="199" t="str">
        <f>Round5!B9</f>
        <v>DEY</v>
      </c>
      <c r="W4" s="199">
        <f>Round5!C9</f>
        <v>24</v>
      </c>
      <c r="X4" s="201">
        <f>Round5!D9</f>
        <v>16.5</v>
      </c>
      <c r="Y4" s="199"/>
      <c r="Z4" s="200">
        <f>'RND 6 NET'!AD16</f>
        <v>3</v>
      </c>
      <c r="AA4" s="199" t="str">
        <f>'RND 6 NET'!AE16</f>
        <v>LAING</v>
      </c>
      <c r="AB4" s="199">
        <f>'RND 6 NET'!AF16</f>
        <v>-16</v>
      </c>
      <c r="AC4" s="201">
        <f>'RND 6 NET'!AG16</f>
        <v>18</v>
      </c>
      <c r="AD4" s="199"/>
      <c r="AE4" s="199"/>
      <c r="AF4" s="199"/>
      <c r="AG4" s="199"/>
    </row>
    <row r="5" spans="1:42" x14ac:dyDescent="0.2">
      <c r="A5" s="200">
        <f>'RND 1 STBL'!AD17</f>
        <v>4</v>
      </c>
      <c r="B5" s="199" t="str">
        <f>'RND 1 STBL'!AE17</f>
        <v>FINDLAY</v>
      </c>
      <c r="C5" s="199">
        <f>'RND 1 STBL'!AF17</f>
        <v>24</v>
      </c>
      <c r="D5" s="201">
        <f>'RND 1 STBL'!AG17</f>
        <v>15</v>
      </c>
      <c r="E5" s="199"/>
      <c r="F5" s="200">
        <f>'RND 2 MP'!AD17</f>
        <v>4</v>
      </c>
      <c r="G5" s="199" t="str">
        <f>'RND 2 MP'!AE17</f>
        <v>LAING</v>
      </c>
      <c r="H5" s="199">
        <f>'RND 2 MP'!AF17</f>
        <v>21</v>
      </c>
      <c r="I5" s="201">
        <f>'RND 2 MP'!AG17</f>
        <v>15</v>
      </c>
      <c r="J5" s="199"/>
      <c r="K5" s="200">
        <f>'RND 3 MSTB'!AD17</f>
        <v>4</v>
      </c>
      <c r="L5" s="199" t="str">
        <f>'RND 3 MSTB'!AE17</f>
        <v>HOLLANDS</v>
      </c>
      <c r="M5" s="199">
        <f>'RND 3 MSTB'!AF17</f>
        <v>-9</v>
      </c>
      <c r="N5" s="201">
        <f>'RND 3 MSTB'!AG17</f>
        <v>15</v>
      </c>
      <c r="O5" s="199"/>
      <c r="P5" s="200">
        <f>'RND 4 STBL'!AD17</f>
        <v>4</v>
      </c>
      <c r="Q5" s="199" t="str">
        <f>'RND 4 STBL'!AE17</f>
        <v>FINDLAY</v>
      </c>
      <c r="R5" s="199">
        <f>'RND 4 STBL'!AF17</f>
        <v>35</v>
      </c>
      <c r="S5" s="201">
        <f>'RND 4 STBL'!AG17</f>
        <v>10.5</v>
      </c>
      <c r="T5" s="199"/>
      <c r="U5" s="200">
        <f>Round5!A10</f>
        <v>4</v>
      </c>
      <c r="V5" s="199" t="str">
        <f>Round5!B10</f>
        <v>HOLLANDS</v>
      </c>
      <c r="W5" s="199">
        <f>Round5!C10</f>
        <v>24</v>
      </c>
      <c r="X5" s="201">
        <f>Round5!D10</f>
        <v>16.5</v>
      </c>
      <c r="Y5" s="199"/>
      <c r="Z5" s="200">
        <f>'RND 6 NET'!AD17</f>
        <v>4</v>
      </c>
      <c r="AA5" s="199" t="str">
        <f>'RND 6 NET'!AE17</f>
        <v>HOLLANDS</v>
      </c>
      <c r="AB5" s="199">
        <f>'RND 6 NET'!AF17</f>
        <v>-15</v>
      </c>
      <c r="AC5" s="201">
        <f>'RND 6 NET'!AG17</f>
        <v>15</v>
      </c>
      <c r="AD5" s="199"/>
      <c r="AE5" s="199"/>
      <c r="AF5" s="199"/>
      <c r="AG5" s="199"/>
    </row>
    <row r="6" spans="1:42" x14ac:dyDescent="0.2">
      <c r="A6" s="200">
        <f>'RND 1 STBL'!AD18</f>
        <v>5</v>
      </c>
      <c r="B6" s="199" t="str">
        <f>'RND 1 STBL'!AE18</f>
        <v>HOLLANDS</v>
      </c>
      <c r="C6" s="199">
        <f>'RND 1 STBL'!AF18</f>
        <v>18</v>
      </c>
      <c r="D6" s="201">
        <f>'RND 1 STBL'!AG18</f>
        <v>12</v>
      </c>
      <c r="E6" s="199"/>
      <c r="F6" s="200">
        <f>'RND 2 MP'!AD18</f>
        <v>5</v>
      </c>
      <c r="G6" s="199" t="str">
        <f>'RND 2 MP'!AE18</f>
        <v>REILLY</v>
      </c>
      <c r="H6" s="199">
        <f>'RND 2 MP'!AF18</f>
        <v>12</v>
      </c>
      <c r="I6" s="201">
        <f>'RND 2 MP'!AG18</f>
        <v>12</v>
      </c>
      <c r="J6" s="199"/>
      <c r="K6" s="200">
        <f>'RND 3 MSTB'!AD18</f>
        <v>5</v>
      </c>
      <c r="L6" s="199" t="str">
        <f>'RND 3 MSTB'!AE18</f>
        <v>FINDLAY</v>
      </c>
      <c r="M6" s="199">
        <f>'RND 3 MSTB'!AF18</f>
        <v>-12</v>
      </c>
      <c r="N6" s="201">
        <f>'RND 3 MSTB'!AG18</f>
        <v>12</v>
      </c>
      <c r="O6" s="199"/>
      <c r="P6" s="200">
        <f>'RND 4 STBL'!AD18</f>
        <v>5</v>
      </c>
      <c r="Q6" s="199" t="str">
        <f>'RND 4 STBL'!AE18</f>
        <v>HOLLANDS</v>
      </c>
      <c r="R6" s="199">
        <f>'RND 4 STBL'!AF18</f>
        <v>35</v>
      </c>
      <c r="S6" s="201">
        <f>'RND 4 STBL'!AG18</f>
        <v>10.5</v>
      </c>
      <c r="T6" s="199"/>
      <c r="U6" s="200">
        <f>Round5!A11</f>
        <v>5</v>
      </c>
      <c r="V6" s="199" t="str">
        <f>Round5!B11</f>
        <v>DONOVAN</v>
      </c>
      <c r="W6" s="199">
        <f>Round5!C11</f>
        <v>22</v>
      </c>
      <c r="X6" s="201">
        <f>Round5!D11</f>
        <v>12</v>
      </c>
      <c r="Y6" s="199"/>
      <c r="Z6" s="200">
        <f>'RND 6 NET'!AD18</f>
        <v>5</v>
      </c>
      <c r="AA6" s="199" t="str">
        <f>'RND 6 NET'!AE18</f>
        <v>FINDLAY</v>
      </c>
      <c r="AB6" s="199">
        <f>'RND 6 NET'!AF18</f>
        <v>-14</v>
      </c>
      <c r="AC6" s="201">
        <f>'RND 6 NET'!AG18</f>
        <v>12</v>
      </c>
      <c r="AD6" s="199"/>
      <c r="AE6" s="199"/>
      <c r="AF6" s="199"/>
      <c r="AG6" s="199"/>
    </row>
    <row r="7" spans="1:42" x14ac:dyDescent="0.2">
      <c r="A7" s="200">
        <f>'RND 1 STBL'!AD19</f>
        <v>6</v>
      </c>
      <c r="B7" s="199" t="str">
        <f>'RND 1 STBL'!AE19</f>
        <v>DEY</v>
      </c>
      <c r="C7" s="199">
        <f>'RND 1 STBL'!AF19</f>
        <v>17</v>
      </c>
      <c r="D7" s="201">
        <f>'RND 1 STBL'!AG19</f>
        <v>7.5</v>
      </c>
      <c r="E7" s="199"/>
      <c r="F7" s="200">
        <f>'RND 2 MP'!AD19</f>
        <v>6</v>
      </c>
      <c r="G7" s="199" t="str">
        <f>'RND 2 MP'!AE19</f>
        <v>DEY</v>
      </c>
      <c r="H7" s="199">
        <f>'RND 2 MP'!AF19</f>
        <v>10</v>
      </c>
      <c r="I7" s="201">
        <f>'RND 2 MP'!AG19</f>
        <v>7.5</v>
      </c>
      <c r="J7" s="199"/>
      <c r="K7" s="200">
        <f>'RND 3 MSTB'!AD19</f>
        <v>6</v>
      </c>
      <c r="L7" s="199" t="str">
        <f>'RND 3 MSTB'!AE19</f>
        <v>DONOVAN</v>
      </c>
      <c r="M7" s="199">
        <f>'RND 3 MSTB'!AF19</f>
        <v>-15</v>
      </c>
      <c r="N7" s="201">
        <f>'RND 3 MSTB'!AG19</f>
        <v>9</v>
      </c>
      <c r="O7" s="199"/>
      <c r="P7" s="200">
        <f>'RND 4 STBL'!AD19</f>
        <v>6</v>
      </c>
      <c r="Q7" s="199" t="str">
        <f>'RND 4 STBL'!AE19</f>
        <v>LAING</v>
      </c>
      <c r="R7" s="199">
        <f>'RND 4 STBL'!AF19</f>
        <v>35</v>
      </c>
      <c r="S7" s="201">
        <f>'RND 4 STBL'!AG19</f>
        <v>10.5</v>
      </c>
      <c r="T7" s="199"/>
      <c r="U7" s="200">
        <f>Round5!A12</f>
        <v>6</v>
      </c>
      <c r="V7" s="199" t="str">
        <f>Round5!B12</f>
        <v>REILLY</v>
      </c>
      <c r="W7" s="199">
        <f>Round5!C12</f>
        <v>8</v>
      </c>
      <c r="X7" s="201">
        <f>Round5!D12</f>
        <v>9</v>
      </c>
      <c r="Y7" s="199"/>
      <c r="Z7" s="200">
        <f>'RND 6 NET'!AD19</f>
        <v>6</v>
      </c>
      <c r="AA7" s="199" t="str">
        <f>'RND 6 NET'!AE19</f>
        <v>DONOVAN</v>
      </c>
      <c r="AB7" s="199">
        <f>'RND 6 NET'!AF19</f>
        <v>-13</v>
      </c>
      <c r="AC7" s="201">
        <f>'RND 6 NET'!AG19</f>
        <v>9</v>
      </c>
      <c r="AD7" s="199"/>
      <c r="AE7" s="199"/>
      <c r="AF7" s="199"/>
      <c r="AG7" s="199"/>
    </row>
    <row r="8" spans="1:42" x14ac:dyDescent="0.2">
      <c r="A8" s="200">
        <f>'RND 1 STBL'!AD20</f>
        <v>7</v>
      </c>
      <c r="B8" s="199" t="str">
        <f>'RND 1 STBL'!AE20</f>
        <v>DONOVAN</v>
      </c>
      <c r="C8" s="199">
        <f>'RND 1 STBL'!AF20</f>
        <v>17</v>
      </c>
      <c r="D8" s="201">
        <f>'RND 1 STBL'!AG20</f>
        <v>7.5</v>
      </c>
      <c r="E8" s="199"/>
      <c r="F8" s="200">
        <f>'RND 2 MP'!AD20</f>
        <v>7</v>
      </c>
      <c r="G8" s="199" t="str">
        <f>'RND 2 MP'!AE20</f>
        <v>STONES</v>
      </c>
      <c r="H8" s="199">
        <f>'RND 2 MP'!AF20</f>
        <v>10</v>
      </c>
      <c r="I8" s="201">
        <f>'RND 2 MP'!AG20</f>
        <v>7.5</v>
      </c>
      <c r="J8" s="199"/>
      <c r="K8" s="200">
        <f>'RND 3 MSTB'!AD20</f>
        <v>7</v>
      </c>
      <c r="L8" s="199" t="str">
        <f>'RND 3 MSTB'!AE20</f>
        <v>DEY</v>
      </c>
      <c r="M8" s="199">
        <f>'RND 3 MSTB'!AF20</f>
        <v>-16</v>
      </c>
      <c r="N8" s="201">
        <f>'RND 3 MSTB'!AG20</f>
        <v>6</v>
      </c>
      <c r="O8" s="199"/>
      <c r="P8" s="200">
        <f>'RND 4 STBL'!AD20</f>
        <v>7</v>
      </c>
      <c r="Q8" s="199" t="str">
        <f>'RND 4 STBL'!AE20</f>
        <v>REILLY</v>
      </c>
      <c r="R8" s="199">
        <f>'RND 4 STBL'!AF20</f>
        <v>35</v>
      </c>
      <c r="S8" s="201">
        <f>'RND 4 STBL'!AG20</f>
        <v>10.5</v>
      </c>
      <c r="T8" s="199"/>
      <c r="U8" s="200">
        <f>Round5!A13</f>
        <v>7</v>
      </c>
      <c r="V8" s="199" t="str">
        <f>Round5!B13</f>
        <v>STONES</v>
      </c>
      <c r="W8" s="199">
        <f>Round5!C13</f>
        <v>6</v>
      </c>
      <c r="X8" s="201">
        <f>Round5!D13</f>
        <v>6</v>
      </c>
      <c r="Y8" s="199"/>
      <c r="Z8" s="200">
        <f>'RND 6 NET'!AD20</f>
        <v>7</v>
      </c>
      <c r="AA8" s="199" t="str">
        <f>'RND 6 NET'!AE20</f>
        <v>DEY</v>
      </c>
      <c r="AB8" s="199">
        <f>'RND 6 NET'!AF20</f>
        <v>-12</v>
      </c>
      <c r="AC8" s="201">
        <f>'RND 6 NET'!AG20</f>
        <v>6</v>
      </c>
      <c r="AD8" s="199"/>
      <c r="AE8" s="199"/>
      <c r="AF8" s="199"/>
      <c r="AG8" s="199"/>
    </row>
    <row r="9" spans="1:42" x14ac:dyDescent="0.2">
      <c r="A9" s="202">
        <f>'RND 1 STBL'!AD21</f>
        <v>8</v>
      </c>
      <c r="B9" s="203" t="str">
        <f>'RND 1 STBL'!AE21</f>
        <v>LAING</v>
      </c>
      <c r="C9" s="203">
        <f>'RND 1 STBL'!AF21</f>
        <v>16</v>
      </c>
      <c r="D9" s="204">
        <f>'RND 1 STBL'!AG21</f>
        <v>3</v>
      </c>
      <c r="E9" s="199"/>
      <c r="F9" s="202">
        <f>'RND 2 MP'!AD21</f>
        <v>8</v>
      </c>
      <c r="G9" s="203" t="str">
        <f>'RND 2 MP'!AE21</f>
        <v>BELLIS</v>
      </c>
      <c r="H9" s="203">
        <f>'RND 2 MP'!AF21</f>
        <v>5</v>
      </c>
      <c r="I9" s="204">
        <f>'RND 2 MP'!AG21</f>
        <v>3</v>
      </c>
      <c r="J9" s="199"/>
      <c r="K9" s="202">
        <f>'RND 3 MSTB'!AD21</f>
        <v>8</v>
      </c>
      <c r="L9" s="203" t="str">
        <f>'RND 3 MSTB'!AE21</f>
        <v>BELLIS</v>
      </c>
      <c r="M9" s="203">
        <f>'RND 3 MSTB'!AF21</f>
        <v>-17</v>
      </c>
      <c r="N9" s="204">
        <f>'RND 3 MSTB'!AG21</f>
        <v>3</v>
      </c>
      <c r="O9" s="199"/>
      <c r="P9" s="202">
        <f>'RND 4 STBL'!AD21</f>
        <v>8</v>
      </c>
      <c r="Q9" s="203" t="str">
        <f>'RND 4 STBL'!AE21</f>
        <v>STONES</v>
      </c>
      <c r="R9" s="203">
        <f>'RND 4 STBL'!AF21</f>
        <v>35</v>
      </c>
      <c r="S9" s="204">
        <f>'RND 4 STBL'!AG21</f>
        <v>10.5</v>
      </c>
      <c r="T9" s="199"/>
      <c r="U9" s="202">
        <f>Round5!A14</f>
        <v>8</v>
      </c>
      <c r="V9" s="203" t="str">
        <f>Round5!B14</f>
        <v>BELLIS</v>
      </c>
      <c r="W9" s="203">
        <f>Round5!C14</f>
        <v>4</v>
      </c>
      <c r="X9" s="204">
        <f>Round5!D14</f>
        <v>3</v>
      </c>
      <c r="Y9" s="199"/>
      <c r="Z9" s="202">
        <f>'RND 6 NET'!AD21</f>
        <v>8</v>
      </c>
      <c r="AA9" s="203" t="str">
        <f>'RND 6 NET'!AE21</f>
        <v>BELLIS</v>
      </c>
      <c r="AB9" s="203">
        <f>'RND 6 NET'!AF21</f>
        <v>-11</v>
      </c>
      <c r="AC9" s="204">
        <f>'RND 6 NET'!AG21</f>
        <v>3</v>
      </c>
      <c r="AD9" s="199"/>
      <c r="AE9" s="199"/>
      <c r="AF9" s="199"/>
      <c r="AG9" s="199"/>
    </row>
    <row r="10" spans="1:42" x14ac:dyDescent="0.2">
      <c r="A10" s="199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</row>
    <row r="11" spans="1:42" x14ac:dyDescent="0.2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</row>
    <row r="12" spans="1:42" x14ac:dyDescent="0.2">
      <c r="A12" s="24"/>
      <c r="B12" s="26"/>
      <c r="C12" s="25" t="s">
        <v>51</v>
      </c>
      <c r="D12" s="25" t="s">
        <v>52</v>
      </c>
      <c r="E12" s="25" t="s">
        <v>53</v>
      </c>
      <c r="F12" s="25" t="s">
        <v>54</v>
      </c>
      <c r="G12" s="25" t="s">
        <v>55</v>
      </c>
      <c r="H12" s="26" t="s">
        <v>56</v>
      </c>
      <c r="I12" s="205" t="s">
        <v>57</v>
      </c>
      <c r="J12" s="120"/>
      <c r="K12" s="120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</row>
    <row r="13" spans="1:42" x14ac:dyDescent="0.2">
      <c r="A13" s="206">
        <v>1</v>
      </c>
      <c r="B13" s="207" t="str">
        <f t="shared" ref="B13:B20" si="0">B2</f>
        <v>STONES</v>
      </c>
      <c r="C13" s="208">
        <f t="shared" ref="C13:C20" si="1">D2</f>
        <v>24</v>
      </c>
      <c r="D13" s="208">
        <f>INDEX($G$2:$I$9,MATCH(B13,$G$2:$G$9,0),3)</f>
        <v>7.5</v>
      </c>
      <c r="E13" s="208">
        <f>INDEX($L$2:$N$9,MATCH(B13,$L$2:$L$9,0),3)</f>
        <v>24</v>
      </c>
      <c r="F13" s="208">
        <f>INDEX($Q$2:$S$9,MATCH(B13,$Q$2:$Q$9,0),3)</f>
        <v>10.5</v>
      </c>
      <c r="G13" s="208">
        <f>INDEX($V$2:$X$9,MATCH(B13,$V$2:$V$9,0),3)</f>
        <v>6</v>
      </c>
      <c r="H13" s="207">
        <f>INDEX($AA$2:$AC$9,MATCH(B13,$AA$2:$AA$9,0),3)</f>
        <v>24</v>
      </c>
      <c r="I13" s="209">
        <f>SUM(C13:H13)</f>
        <v>96</v>
      </c>
      <c r="J13" s="120"/>
      <c r="K13" s="120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</row>
    <row r="14" spans="1:42" x14ac:dyDescent="0.2">
      <c r="A14" s="206">
        <v>2</v>
      </c>
      <c r="B14" s="207" t="str">
        <f t="shared" si="0"/>
        <v>BELLIS</v>
      </c>
      <c r="C14" s="208">
        <f t="shared" si="1"/>
        <v>21</v>
      </c>
      <c r="D14" s="208">
        <f t="shared" ref="D14:D20" si="2">INDEX($G$2:$I$9,MATCH(B14,$G$2:$G$9,0),3)</f>
        <v>3</v>
      </c>
      <c r="E14" s="208">
        <f t="shared" ref="E14:E20" si="3">INDEX($L$2:$N$9,MATCH(B14,$L$2:$L$9,0),3)</f>
        <v>3</v>
      </c>
      <c r="F14" s="208">
        <f t="shared" ref="F14:F20" si="4">INDEX($Q$2:$S$9,MATCH(B14,$Q$2:$Q$9,0),3)</f>
        <v>24</v>
      </c>
      <c r="G14" s="208">
        <f t="shared" ref="G14:G20" si="5">INDEX($V$2:$X$9,MATCH(B14,$V$2:$V$9,0),3)</f>
        <v>3</v>
      </c>
      <c r="H14" s="207">
        <f t="shared" ref="H14:H20" si="6">INDEX($AA$2:$AC$9,MATCH(B14,$AA$2:$AA$9,0),3)</f>
        <v>3</v>
      </c>
      <c r="I14" s="210">
        <f t="shared" ref="I14:I20" si="7">SUM(C14:H14)</f>
        <v>57</v>
      </c>
      <c r="J14" s="120"/>
      <c r="K14" s="120"/>
      <c r="L14" s="219"/>
      <c r="M14" s="220" t="s">
        <v>67</v>
      </c>
      <c r="N14" s="221"/>
      <c r="O14" s="221"/>
      <c r="P14" s="222"/>
      <c r="Q14" s="219"/>
      <c r="R14" s="220" t="s">
        <v>66</v>
      </c>
      <c r="S14" s="221"/>
      <c r="T14" s="221"/>
      <c r="U14" s="222"/>
      <c r="V14" s="219"/>
      <c r="W14" s="220" t="s">
        <v>68</v>
      </c>
      <c r="X14" s="221"/>
      <c r="Y14" s="221"/>
      <c r="Z14" s="222"/>
      <c r="AA14" s="219"/>
      <c r="AB14" s="220" t="s">
        <v>69</v>
      </c>
      <c r="AC14" s="221"/>
      <c r="AD14" s="221"/>
      <c r="AE14" s="222"/>
      <c r="AF14" s="219"/>
      <c r="AG14" s="220" t="s">
        <v>70</v>
      </c>
      <c r="AH14" s="221"/>
      <c r="AI14" s="221"/>
      <c r="AJ14" s="222"/>
      <c r="AK14" s="219"/>
      <c r="AL14" s="220" t="s">
        <v>71</v>
      </c>
      <c r="AM14" s="221"/>
      <c r="AN14" s="221"/>
      <c r="AO14" s="222"/>
      <c r="AP14" s="219"/>
    </row>
    <row r="15" spans="1:42" x14ac:dyDescent="0.2">
      <c r="A15" s="206">
        <v>3</v>
      </c>
      <c r="B15" s="207" t="str">
        <f t="shared" si="0"/>
        <v>REILLY</v>
      </c>
      <c r="C15" s="208">
        <f t="shared" si="1"/>
        <v>18</v>
      </c>
      <c r="D15" s="208">
        <f t="shared" si="2"/>
        <v>12</v>
      </c>
      <c r="E15" s="208">
        <f t="shared" si="3"/>
        <v>21</v>
      </c>
      <c r="F15" s="208">
        <f t="shared" si="4"/>
        <v>10.5</v>
      </c>
      <c r="G15" s="208">
        <f t="shared" si="5"/>
        <v>9</v>
      </c>
      <c r="H15" s="207">
        <f t="shared" si="6"/>
        <v>21</v>
      </c>
      <c r="I15" s="210">
        <f t="shared" si="7"/>
        <v>91.5</v>
      </c>
      <c r="J15" s="120"/>
      <c r="K15" s="120"/>
      <c r="L15" s="219"/>
      <c r="M15" s="230" t="str">
        <f>O26</f>
        <v>1ST</v>
      </c>
      <c r="N15" s="219" t="str">
        <f>C32</f>
        <v>STONES</v>
      </c>
      <c r="O15" s="219">
        <f>C41</f>
        <v>24</v>
      </c>
      <c r="P15" s="223"/>
      <c r="Q15" s="219"/>
      <c r="R15" s="230" t="str">
        <f>T26</f>
        <v>1ST</v>
      </c>
      <c r="S15" s="219" t="str">
        <f t="shared" ref="S15:S22" si="8">D32</f>
        <v>FINDLAY</v>
      </c>
      <c r="T15" s="219">
        <f t="shared" ref="T15:T22" si="9">D41</f>
        <v>37.5</v>
      </c>
      <c r="U15" s="223" t="str">
        <f>IFERROR(
IF(MATCH(S15,$N$15:$N$22,0)&lt;ROW(S15)-ROW($S$15)+1,"⬇",
IF(MATCH(S15,$N$15:$N$22,0)&gt;ROW(S15)-ROW($S$15)+1,"⬆","–")),
"")</f>
        <v>⬆</v>
      </c>
      <c r="V15" s="219"/>
      <c r="W15" s="230" t="str">
        <f>Y26</f>
        <v>1ST</v>
      </c>
      <c r="X15" s="219" t="str">
        <f>E32</f>
        <v>STONES</v>
      </c>
      <c r="Y15" s="219">
        <f>E41</f>
        <v>55.5</v>
      </c>
      <c r="Z15" s="223" t="str">
        <f>IFERROR(
IF(MATCH(X15,$S$15:$S$22,0)&lt;ROW(X15)-ROW($X$15)+1,"⬇",
IF(MATCH(X15,$S$15:$S$22,0)&gt;ROW(X15)-ROW($X$15)+1,"⬆","–")),
"")</f>
        <v>⬆</v>
      </c>
      <c r="AA15" s="219"/>
      <c r="AB15" s="230" t="str">
        <f>AD26</f>
        <v>1ST</v>
      </c>
      <c r="AC15" s="219" t="str">
        <f>F32</f>
        <v>STONES</v>
      </c>
      <c r="AD15" s="219">
        <f>F41</f>
        <v>66</v>
      </c>
      <c r="AE15" s="223" t="str">
        <f>IFERROR(
IF(MATCH(AC15,$X$15:$X$22,0)&lt;ROW(AC15)-ROW($AC$15)+1,"⬇",
IF(MATCH(AC15,$X$15:$X$22,0)&gt;ROW(AC15)-ROW($AC$15)+1,"⬆","–")),
"")</f>
        <v>–</v>
      </c>
      <c r="AF15" s="219"/>
      <c r="AG15" s="230" t="str">
        <f>AI26</f>
        <v>1ST</v>
      </c>
      <c r="AH15" s="219" t="str">
        <f>G32</f>
        <v>FINDLAY</v>
      </c>
      <c r="AI15" s="219">
        <f>G41</f>
        <v>81</v>
      </c>
      <c r="AJ15" s="223" t="str">
        <f>IFERROR(
IF(MATCH(AH15,$AC$15:$AC$22,0)&lt;ROW(AH15)-ROW($AH$15)+1,"⬇",
IF(MATCH(AH15,$AC$15:$AC$22,0)&gt;ROW(AH15)-ROW($AH$15)+1,"⬆","–")),
"")</f>
        <v>⬆</v>
      </c>
      <c r="AK15" s="219"/>
      <c r="AL15" s="230" t="str">
        <f>AN26</f>
        <v>1ST</v>
      </c>
      <c r="AM15" s="219" t="str">
        <f>H32</f>
        <v>STONES</v>
      </c>
      <c r="AN15" s="219">
        <f>H41</f>
        <v>96</v>
      </c>
      <c r="AO15" s="223" t="str">
        <f>IFERROR(
IF(MATCH(AM15,$AH$15:$AH$22,0)&lt;ROW(AM15)-ROW($AM$15)+1,"⬇",
IF(MATCH(AM15,$AH$15:$AH$22,0)&gt;ROW(AM15)-ROW($AM$15)+1,"⬆","–")),
"")</f>
        <v>⬆</v>
      </c>
      <c r="AP15" s="219"/>
    </row>
    <row r="16" spans="1:42" x14ac:dyDescent="0.2">
      <c r="A16" s="206">
        <v>4</v>
      </c>
      <c r="B16" s="207" t="str">
        <f t="shared" si="0"/>
        <v>FINDLAY</v>
      </c>
      <c r="C16" s="208">
        <f t="shared" si="1"/>
        <v>15</v>
      </c>
      <c r="D16" s="208">
        <f t="shared" si="2"/>
        <v>22.5</v>
      </c>
      <c r="E16" s="208">
        <f t="shared" si="3"/>
        <v>12</v>
      </c>
      <c r="F16" s="208">
        <f t="shared" si="4"/>
        <v>10.5</v>
      </c>
      <c r="G16" s="208">
        <f t="shared" si="5"/>
        <v>21</v>
      </c>
      <c r="H16" s="207">
        <f t="shared" si="6"/>
        <v>12</v>
      </c>
      <c r="I16" s="210">
        <f t="shared" si="7"/>
        <v>93</v>
      </c>
      <c r="J16" s="120"/>
      <c r="K16" s="120"/>
      <c r="L16" s="219"/>
      <c r="M16" s="230" t="str">
        <f t="shared" ref="M16:M22" si="10">O27</f>
        <v>2ND</v>
      </c>
      <c r="N16" s="219" t="str">
        <f t="shared" ref="N16:N22" si="11">C33</f>
        <v>BELLIS</v>
      </c>
      <c r="O16" s="219">
        <f t="shared" ref="O16:O22" si="12">C42</f>
        <v>21</v>
      </c>
      <c r="P16" s="223"/>
      <c r="Q16" s="219"/>
      <c r="R16" s="230" t="str">
        <f t="shared" ref="R16:R22" si="13">T27</f>
        <v>2ND</v>
      </c>
      <c r="S16" s="219" t="str">
        <f t="shared" si="8"/>
        <v>HOLLANDS</v>
      </c>
      <c r="T16" s="219">
        <f t="shared" si="9"/>
        <v>34.5</v>
      </c>
      <c r="U16" s="223" t="str">
        <f t="shared" ref="U16:U22" si="14">IFERROR(
IF(MATCH(S16,$N$15:$N$22,0)&lt;ROW(S16)-ROW($S$15)+1,"⬇",
IF(MATCH(S16,$N$15:$N$22,0)&gt;ROW(S16)-ROW($S$15)+1,"⬆","–")),
"")</f>
        <v>⬆</v>
      </c>
      <c r="V16" s="219"/>
      <c r="W16" s="230" t="str">
        <f t="shared" ref="W16:W22" si="15">Y27</f>
        <v>2ND</v>
      </c>
      <c r="X16" s="219" t="str">
        <f t="shared" ref="X16:X22" si="16">E33</f>
        <v>REILLY</v>
      </c>
      <c r="Y16" s="219">
        <f t="shared" ref="Y16:Y22" si="17">E42</f>
        <v>51</v>
      </c>
      <c r="Z16" s="223" t="str">
        <f t="shared" ref="Z16:Z22" si="18">IFERROR(
IF(MATCH(X16,$S$15:$S$22,0)&lt;ROW(X16)-ROW($X$15)+1,"⬇",
IF(MATCH(X16,$S$15:$S$22,0)&gt;ROW(X16)-ROW($X$15)+1,"⬆","–")),
"")</f>
        <v>⬆</v>
      </c>
      <c r="AA16" s="219"/>
      <c r="AB16" s="230" t="str">
        <f t="shared" ref="AB16:AB22" si="19">AD27</f>
        <v>2ND</v>
      </c>
      <c r="AC16" s="219" t="str">
        <f t="shared" ref="AC16:AC22" si="20">F33</f>
        <v>REILLY</v>
      </c>
      <c r="AD16" s="219">
        <f t="shared" ref="AD16:AD22" si="21">F42</f>
        <v>61.5</v>
      </c>
      <c r="AE16" s="223" t="str">
        <f t="shared" ref="AE16:AE22" si="22">IFERROR(
IF(MATCH(AC16,$X$15:$X$22,0)&lt;ROW(AC16)-ROW($AC$15)+1,"⬇",
IF(MATCH(AC16,$X$15:$X$22,0)&gt;ROW(AC16)-ROW($AC$15)+1,"⬆","–")),
"")</f>
        <v>–</v>
      </c>
      <c r="AF16" s="219"/>
      <c r="AG16" s="230" t="str">
        <f t="shared" ref="AG16:AG22" si="23">AI27</f>
        <v>2ND</v>
      </c>
      <c r="AH16" s="219" t="str">
        <f t="shared" ref="AH16:AH22" si="24">G33</f>
        <v>HOLLANDS</v>
      </c>
      <c r="AI16" s="219">
        <f t="shared" ref="AI16:AI22" si="25">G42</f>
        <v>76.5</v>
      </c>
      <c r="AJ16" s="223" t="str">
        <f t="shared" ref="AJ16:AJ22" si="26">IFERROR(
IF(MATCH(AH16,$AC$15:$AC$22,0)&lt;ROW(AH16)-ROW($AH$15)+1,"⬇",
IF(MATCH(AH16,$AC$15:$AC$22,0)&gt;ROW(AH16)-ROW($AH$15)+1,"⬆","–")),
"")</f>
        <v>⬆</v>
      </c>
      <c r="AK16" s="219"/>
      <c r="AL16" s="230" t="str">
        <f t="shared" ref="AL16:AL22" si="27">AN27</f>
        <v>2ND</v>
      </c>
      <c r="AM16" s="219" t="str">
        <f t="shared" ref="AM16:AM22" si="28">H33</f>
        <v>FINDLAY</v>
      </c>
      <c r="AN16" s="219">
        <f t="shared" ref="AN16:AN22" si="29">H42</f>
        <v>93</v>
      </c>
      <c r="AO16" s="223" t="str">
        <f t="shared" ref="AO16:AO22" si="30">IFERROR(
IF(MATCH(AM16,$AH$15:$AH$22,0)&lt;ROW(AM16)-ROW($AM$15)+1,"⬇",
IF(MATCH(AM16,$AH$15:$AH$22,0)&gt;ROW(AM16)-ROW($AM$15)+1,"⬆","–")),
"")</f>
        <v>⬇</v>
      </c>
      <c r="AP16" s="219"/>
    </row>
    <row r="17" spans="1:42" x14ac:dyDescent="0.2">
      <c r="A17" s="206">
        <v>5</v>
      </c>
      <c r="B17" s="207" t="str">
        <f t="shared" si="0"/>
        <v>HOLLANDS</v>
      </c>
      <c r="C17" s="208">
        <f t="shared" si="1"/>
        <v>12</v>
      </c>
      <c r="D17" s="208">
        <f t="shared" si="2"/>
        <v>22.5</v>
      </c>
      <c r="E17" s="208">
        <f t="shared" si="3"/>
        <v>15</v>
      </c>
      <c r="F17" s="208">
        <f t="shared" si="4"/>
        <v>10.5</v>
      </c>
      <c r="G17" s="208">
        <f t="shared" si="5"/>
        <v>16.5</v>
      </c>
      <c r="H17" s="207">
        <f t="shared" si="6"/>
        <v>15</v>
      </c>
      <c r="I17" s="210">
        <f t="shared" si="7"/>
        <v>91.5</v>
      </c>
      <c r="J17" s="120"/>
      <c r="K17" s="120"/>
      <c r="L17" s="219"/>
      <c r="M17" s="230" t="str">
        <f t="shared" si="10"/>
        <v>3RD</v>
      </c>
      <c r="N17" s="219" t="str">
        <f t="shared" si="11"/>
        <v>REILLY</v>
      </c>
      <c r="O17" s="219">
        <f t="shared" si="12"/>
        <v>18</v>
      </c>
      <c r="P17" s="223"/>
      <c r="Q17" s="219"/>
      <c r="R17" s="230" t="str">
        <f t="shared" si="13"/>
        <v>3RD</v>
      </c>
      <c r="S17" s="219" t="str">
        <f t="shared" si="8"/>
        <v>STONES</v>
      </c>
      <c r="T17" s="219">
        <f t="shared" si="9"/>
        <v>31.5</v>
      </c>
      <c r="U17" s="223" t="str">
        <f t="shared" si="14"/>
        <v>⬇</v>
      </c>
      <c r="V17" s="219"/>
      <c r="W17" s="230" t="str">
        <f t="shared" si="15"/>
        <v>=3RD</v>
      </c>
      <c r="X17" s="219" t="str">
        <f t="shared" si="16"/>
        <v>HOLLANDS</v>
      </c>
      <c r="Y17" s="219">
        <f t="shared" si="17"/>
        <v>49.5</v>
      </c>
      <c r="Z17" s="223" t="str">
        <f t="shared" si="18"/>
        <v>⬇</v>
      </c>
      <c r="AA17" s="219"/>
      <c r="AB17" s="230" t="str">
        <f t="shared" si="19"/>
        <v>=3RD</v>
      </c>
      <c r="AC17" s="219" t="str">
        <f t="shared" si="20"/>
        <v>HOLLANDS</v>
      </c>
      <c r="AD17" s="219">
        <f t="shared" si="21"/>
        <v>60</v>
      </c>
      <c r="AE17" s="223" t="str">
        <f t="shared" si="22"/>
        <v>–</v>
      </c>
      <c r="AF17" s="219"/>
      <c r="AG17" s="230" t="str">
        <f t="shared" si="23"/>
        <v>3RD</v>
      </c>
      <c r="AH17" s="219" t="str">
        <f t="shared" si="24"/>
        <v>STONES</v>
      </c>
      <c r="AI17" s="219">
        <f t="shared" si="25"/>
        <v>72</v>
      </c>
      <c r="AJ17" s="223" t="str">
        <f t="shared" si="26"/>
        <v>⬇</v>
      </c>
      <c r="AK17" s="219"/>
      <c r="AL17" s="230" t="str">
        <f t="shared" si="27"/>
        <v>=3RD</v>
      </c>
      <c r="AM17" s="219" t="str">
        <f t="shared" si="28"/>
        <v>HOLLANDS</v>
      </c>
      <c r="AN17" s="219">
        <f t="shared" si="29"/>
        <v>91.5</v>
      </c>
      <c r="AO17" s="223" t="str">
        <f t="shared" si="30"/>
        <v>⬇</v>
      </c>
      <c r="AP17" s="219"/>
    </row>
    <row r="18" spans="1:42" x14ac:dyDescent="0.2">
      <c r="A18" s="206">
        <v>6</v>
      </c>
      <c r="B18" s="207" t="str">
        <f t="shared" si="0"/>
        <v>DEY</v>
      </c>
      <c r="C18" s="208">
        <f t="shared" si="1"/>
        <v>7.5</v>
      </c>
      <c r="D18" s="208">
        <f t="shared" si="2"/>
        <v>7.5</v>
      </c>
      <c r="E18" s="208">
        <f t="shared" si="3"/>
        <v>6</v>
      </c>
      <c r="F18" s="208">
        <f t="shared" si="4"/>
        <v>21</v>
      </c>
      <c r="G18" s="208">
        <f t="shared" si="5"/>
        <v>16.5</v>
      </c>
      <c r="H18" s="207">
        <f t="shared" si="6"/>
        <v>6</v>
      </c>
      <c r="I18" s="210">
        <f t="shared" si="7"/>
        <v>64.5</v>
      </c>
      <c r="J18" s="120"/>
      <c r="K18" s="120"/>
      <c r="L18" s="219"/>
      <c r="M18" s="230" t="str">
        <f t="shared" si="10"/>
        <v>4TH</v>
      </c>
      <c r="N18" s="219" t="str">
        <f t="shared" si="11"/>
        <v>FINDLAY</v>
      </c>
      <c r="O18" s="219">
        <f t="shared" si="12"/>
        <v>15</v>
      </c>
      <c r="P18" s="223"/>
      <c r="Q18" s="219"/>
      <c r="R18" s="230" t="str">
        <f t="shared" si="13"/>
        <v>4TH</v>
      </c>
      <c r="S18" s="219" t="str">
        <f t="shared" si="8"/>
        <v>REILLY</v>
      </c>
      <c r="T18" s="219">
        <f t="shared" si="9"/>
        <v>30</v>
      </c>
      <c r="U18" s="223" t="str">
        <f t="shared" si="14"/>
        <v>⬇</v>
      </c>
      <c r="V18" s="219"/>
      <c r="W18" s="230" t="str">
        <f t="shared" si="15"/>
        <v>=3RD</v>
      </c>
      <c r="X18" s="219" t="str">
        <f t="shared" si="16"/>
        <v>FINDLAY</v>
      </c>
      <c r="Y18" s="219">
        <f t="shared" si="17"/>
        <v>49.5</v>
      </c>
      <c r="Z18" s="223" t="str">
        <f t="shared" si="18"/>
        <v>⬇</v>
      </c>
      <c r="AA18" s="219"/>
      <c r="AB18" s="230" t="str">
        <f t="shared" si="19"/>
        <v>=3RD</v>
      </c>
      <c r="AC18" s="219" t="str">
        <f t="shared" si="20"/>
        <v>FINDLAY</v>
      </c>
      <c r="AD18" s="219">
        <f t="shared" si="21"/>
        <v>60</v>
      </c>
      <c r="AE18" s="223" t="str">
        <f t="shared" si="22"/>
        <v>–</v>
      </c>
      <c r="AF18" s="219"/>
      <c r="AG18" s="230" t="str">
        <f t="shared" si="23"/>
        <v>=4TH</v>
      </c>
      <c r="AH18" s="219" t="str">
        <f t="shared" si="24"/>
        <v>LAING</v>
      </c>
      <c r="AI18" s="219">
        <f t="shared" si="25"/>
        <v>70.5</v>
      </c>
      <c r="AJ18" s="223" t="str">
        <f t="shared" si="26"/>
        <v>⬆</v>
      </c>
      <c r="AK18" s="219"/>
      <c r="AL18" s="230" t="str">
        <f t="shared" si="27"/>
        <v>=3RD</v>
      </c>
      <c r="AM18" s="219" t="str">
        <f t="shared" si="28"/>
        <v>REILLY</v>
      </c>
      <c r="AN18" s="219">
        <f t="shared" si="29"/>
        <v>91.5</v>
      </c>
      <c r="AO18" s="223" t="str">
        <f t="shared" si="30"/>
        <v>⬆</v>
      </c>
      <c r="AP18" s="219"/>
    </row>
    <row r="19" spans="1:42" x14ac:dyDescent="0.2">
      <c r="A19" s="206">
        <v>7</v>
      </c>
      <c r="B19" s="207" t="str">
        <f t="shared" si="0"/>
        <v>DONOVAN</v>
      </c>
      <c r="C19" s="208">
        <f t="shared" si="1"/>
        <v>7.5</v>
      </c>
      <c r="D19" s="208">
        <f t="shared" si="2"/>
        <v>18</v>
      </c>
      <c r="E19" s="208">
        <f t="shared" si="3"/>
        <v>9</v>
      </c>
      <c r="F19" s="208">
        <f t="shared" si="4"/>
        <v>10.5</v>
      </c>
      <c r="G19" s="208">
        <f t="shared" si="5"/>
        <v>12</v>
      </c>
      <c r="H19" s="207">
        <f t="shared" si="6"/>
        <v>9</v>
      </c>
      <c r="I19" s="210">
        <f t="shared" si="7"/>
        <v>66</v>
      </c>
      <c r="J19" s="120"/>
      <c r="K19" s="120"/>
      <c r="L19" s="219"/>
      <c r="M19" s="230" t="str">
        <f t="shared" si="10"/>
        <v>5TH</v>
      </c>
      <c r="N19" s="219" t="str">
        <f t="shared" si="11"/>
        <v>HOLLANDS</v>
      </c>
      <c r="O19" s="219">
        <f t="shared" si="12"/>
        <v>12</v>
      </c>
      <c r="P19" s="223"/>
      <c r="Q19" s="219"/>
      <c r="R19" s="230" t="str">
        <f t="shared" si="13"/>
        <v>5TH</v>
      </c>
      <c r="S19" s="219" t="str">
        <f t="shared" si="8"/>
        <v>DONOVAN</v>
      </c>
      <c r="T19" s="219">
        <f t="shared" si="9"/>
        <v>25.5</v>
      </c>
      <c r="U19" s="223" t="str">
        <f t="shared" si="14"/>
        <v>⬆</v>
      </c>
      <c r="V19" s="219"/>
      <c r="W19" s="230" t="str">
        <f t="shared" si="15"/>
        <v>5TH</v>
      </c>
      <c r="X19" s="219" t="str">
        <f t="shared" si="16"/>
        <v>LAING</v>
      </c>
      <c r="Y19" s="219">
        <f t="shared" si="17"/>
        <v>36</v>
      </c>
      <c r="Z19" s="223" t="str">
        <f t="shared" si="18"/>
        <v>⬆</v>
      </c>
      <c r="AA19" s="219"/>
      <c r="AB19" s="230" t="str">
        <f t="shared" si="19"/>
        <v>5TH</v>
      </c>
      <c r="AC19" s="219" t="str">
        <f t="shared" si="20"/>
        <v>BELLIS</v>
      </c>
      <c r="AD19" s="219">
        <f t="shared" si="21"/>
        <v>51</v>
      </c>
      <c r="AE19" s="223" t="str">
        <f t="shared" si="22"/>
        <v>⬆</v>
      </c>
      <c r="AF19" s="219"/>
      <c r="AG19" s="230" t="str">
        <f t="shared" si="23"/>
        <v>=4TH</v>
      </c>
      <c r="AH19" s="219" t="str">
        <f t="shared" si="24"/>
        <v>REILLY</v>
      </c>
      <c r="AI19" s="219">
        <f t="shared" si="25"/>
        <v>70.5</v>
      </c>
      <c r="AJ19" s="223" t="str">
        <f t="shared" si="26"/>
        <v>⬇</v>
      </c>
      <c r="AK19" s="219"/>
      <c r="AL19" s="230" t="str">
        <f t="shared" si="27"/>
        <v>5TH</v>
      </c>
      <c r="AM19" s="219" t="str">
        <f t="shared" si="28"/>
        <v>LAING</v>
      </c>
      <c r="AN19" s="219">
        <f t="shared" si="29"/>
        <v>88.5</v>
      </c>
      <c r="AO19" s="223" t="str">
        <f t="shared" si="30"/>
        <v>⬇</v>
      </c>
      <c r="AP19" s="219"/>
    </row>
    <row r="20" spans="1:42" x14ac:dyDescent="0.2">
      <c r="A20" s="211">
        <v>8</v>
      </c>
      <c r="B20" s="29" t="str">
        <f t="shared" si="0"/>
        <v>LAING</v>
      </c>
      <c r="C20" s="212">
        <f t="shared" si="1"/>
        <v>3</v>
      </c>
      <c r="D20" s="212">
        <f t="shared" si="2"/>
        <v>15</v>
      </c>
      <c r="E20" s="212">
        <f t="shared" si="3"/>
        <v>18</v>
      </c>
      <c r="F20" s="212">
        <f t="shared" si="4"/>
        <v>10.5</v>
      </c>
      <c r="G20" s="212">
        <f t="shared" si="5"/>
        <v>24</v>
      </c>
      <c r="H20" s="29">
        <f t="shared" si="6"/>
        <v>18</v>
      </c>
      <c r="I20" s="213">
        <f t="shared" si="7"/>
        <v>88.5</v>
      </c>
      <c r="J20" s="120"/>
      <c r="K20" s="120"/>
      <c r="L20" s="219"/>
      <c r="M20" s="230" t="str">
        <f t="shared" si="10"/>
        <v>=6TH</v>
      </c>
      <c r="N20" s="219" t="str">
        <f t="shared" si="11"/>
        <v>DEY</v>
      </c>
      <c r="O20" s="219">
        <f t="shared" si="12"/>
        <v>7.5</v>
      </c>
      <c r="P20" s="223"/>
      <c r="Q20" s="219"/>
      <c r="R20" s="230" t="str">
        <f t="shared" si="13"/>
        <v>6TH</v>
      </c>
      <c r="S20" s="219" t="str">
        <f t="shared" si="8"/>
        <v>BELLIS</v>
      </c>
      <c r="T20" s="219">
        <f t="shared" si="9"/>
        <v>24</v>
      </c>
      <c r="U20" s="223" t="str">
        <f t="shared" si="14"/>
        <v>⬇</v>
      </c>
      <c r="V20" s="219"/>
      <c r="W20" s="230" t="str">
        <f t="shared" si="15"/>
        <v>6TH</v>
      </c>
      <c r="X20" s="219" t="str">
        <f t="shared" si="16"/>
        <v>DONOVAN</v>
      </c>
      <c r="Y20" s="219">
        <f t="shared" si="17"/>
        <v>34.5</v>
      </c>
      <c r="Z20" s="223" t="str">
        <f t="shared" si="18"/>
        <v>⬇</v>
      </c>
      <c r="AA20" s="219"/>
      <c r="AB20" s="230" t="str">
        <f t="shared" si="19"/>
        <v>6TH</v>
      </c>
      <c r="AC20" s="219" t="str">
        <f t="shared" si="20"/>
        <v>LAING</v>
      </c>
      <c r="AD20" s="219">
        <f t="shared" si="21"/>
        <v>46.5</v>
      </c>
      <c r="AE20" s="223" t="str">
        <f t="shared" si="22"/>
        <v>⬇</v>
      </c>
      <c r="AF20" s="219"/>
      <c r="AG20" s="230" t="str">
        <f t="shared" si="23"/>
        <v>6TH</v>
      </c>
      <c r="AH20" s="219" t="str">
        <f t="shared" si="24"/>
        <v>DEY</v>
      </c>
      <c r="AI20" s="219">
        <f t="shared" si="25"/>
        <v>58.5</v>
      </c>
      <c r="AJ20" s="223" t="str">
        <f t="shared" si="26"/>
        <v>⬆</v>
      </c>
      <c r="AK20" s="219"/>
      <c r="AL20" s="230" t="str">
        <f t="shared" si="27"/>
        <v>6TH</v>
      </c>
      <c r="AM20" s="219" t="str">
        <f t="shared" si="28"/>
        <v>DONOVAN</v>
      </c>
      <c r="AN20" s="219">
        <f t="shared" si="29"/>
        <v>66</v>
      </c>
      <c r="AO20" s="223" t="str">
        <f t="shared" si="30"/>
        <v>⬆</v>
      </c>
      <c r="AP20" s="219"/>
    </row>
    <row r="21" spans="1:42" x14ac:dyDescent="0.2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219"/>
      <c r="M21" s="230" t="str">
        <f t="shared" si="10"/>
        <v>=6TH</v>
      </c>
      <c r="N21" s="219" t="str">
        <f t="shared" si="11"/>
        <v>DONOVAN</v>
      </c>
      <c r="O21" s="219">
        <f t="shared" si="12"/>
        <v>7.5</v>
      </c>
      <c r="P21" s="223"/>
      <c r="Q21" s="219"/>
      <c r="R21" s="230" t="str">
        <f t="shared" si="13"/>
        <v>7TH</v>
      </c>
      <c r="S21" s="219" t="str">
        <f t="shared" si="8"/>
        <v>LAING</v>
      </c>
      <c r="T21" s="219">
        <f t="shared" si="9"/>
        <v>18</v>
      </c>
      <c r="U21" s="223" t="str">
        <f t="shared" si="14"/>
        <v>⬆</v>
      </c>
      <c r="V21" s="219"/>
      <c r="W21" s="230" t="str">
        <f t="shared" si="15"/>
        <v>7TH</v>
      </c>
      <c r="X21" s="219" t="str">
        <f t="shared" si="16"/>
        <v>BELLIS</v>
      </c>
      <c r="Y21" s="219">
        <f t="shared" si="17"/>
        <v>27</v>
      </c>
      <c r="Z21" s="223" t="str">
        <f t="shared" si="18"/>
        <v>⬇</v>
      </c>
      <c r="AA21" s="219"/>
      <c r="AB21" s="230" t="str">
        <f t="shared" si="19"/>
        <v>7TH</v>
      </c>
      <c r="AC21" s="219" t="str">
        <f t="shared" si="20"/>
        <v>DONOVAN</v>
      </c>
      <c r="AD21" s="219">
        <f t="shared" si="21"/>
        <v>45</v>
      </c>
      <c r="AE21" s="223" t="str">
        <f t="shared" si="22"/>
        <v>⬇</v>
      </c>
      <c r="AF21" s="219"/>
      <c r="AG21" s="230" t="str">
        <f t="shared" si="23"/>
        <v>7TH</v>
      </c>
      <c r="AH21" s="219" t="str">
        <f t="shared" si="24"/>
        <v>DONOVAN</v>
      </c>
      <c r="AI21" s="219">
        <f t="shared" si="25"/>
        <v>57</v>
      </c>
      <c r="AJ21" s="223" t="str">
        <f t="shared" si="26"/>
        <v>–</v>
      </c>
      <c r="AK21" s="219"/>
      <c r="AL21" s="230" t="str">
        <f t="shared" si="27"/>
        <v>7TH</v>
      </c>
      <c r="AM21" s="219" t="str">
        <f t="shared" si="28"/>
        <v>DEY</v>
      </c>
      <c r="AN21" s="219">
        <f t="shared" si="29"/>
        <v>64.5</v>
      </c>
      <c r="AO21" s="223" t="str">
        <f t="shared" si="30"/>
        <v>⬇</v>
      </c>
      <c r="AP21" s="219"/>
    </row>
    <row r="22" spans="1:42" x14ac:dyDescent="0.2">
      <c r="A22" s="214">
        <f>A13</f>
        <v>1</v>
      </c>
      <c r="B22" s="215" t="str">
        <f>B13</f>
        <v>STONES</v>
      </c>
      <c r="C22" s="214" t="str">
        <f>IF(COLUMN()=COLUMN($C$22),
   "",
   SUM(
     INDEX($C$13:$H$20, MATCH($B22, $B$13:$B$20, 0), 1)
     :
     INDEX($C$13:$H$20, MATCH($B22, $B$13:$B$20, 0), COLUMN()-COLUMN($C$22)+1)
   )
)</f>
        <v/>
      </c>
      <c r="D22" s="216">
        <f>IF(COLUMN()=COLUMN($C$22),
   "",
   SUM(
     INDEX($C$13:$H$20, MATCH($B22, $B$13:$B$20, 0), 1)
     :
     INDEX($C$13:$H$20, MATCH($B22, $B$13:$B$20, 0), COLUMN()-COLUMN($C$22)+1)
   )
)</f>
        <v>31.5</v>
      </c>
      <c r="E22" s="216">
        <f>IF(COLUMN()=COLUMN($C$22),
   "",
   SUM(
     INDEX($C$13:$H$20, MATCH($B22, $B$13:$B$20, 0), 1)
     :
     INDEX($C$13:$H$20, MATCH($B22, $B$13:$B$20, 0), COLUMN()-COLUMN($C$22)+1)
   )
)</f>
        <v>55.5</v>
      </c>
      <c r="F22" s="216">
        <f>IF(COLUMN()=COLUMN($C$22),
   "",
   SUM(
     INDEX($C$13:$H$20, MATCH($B22, $B$13:$B$20, 0), 1)
     :
     INDEX($C$13:$H$20, MATCH($B22, $B$13:$B$20, 0), COLUMN()-COLUMN($C$22)+1)
   )
)</f>
        <v>66</v>
      </c>
      <c r="G22" s="216">
        <f>IF(COLUMN()=COLUMN($C$22),
   "",
   SUM(
     INDEX($C$13:$H$20, MATCH($B22, $B$13:$B$20, 0), 1)
     :
     INDEX($C$13:$H$20, MATCH($B22, $B$13:$B$20, 0), COLUMN()-COLUMN($C$22)+1)
   )
)</f>
        <v>72</v>
      </c>
      <c r="H22" s="18">
        <f>IF(COLUMN()=COLUMN($C$22),
   "",
   SUM(
     INDEX($C$13:$H$20, MATCH($B22, $B$13:$B$20, 0), 1)
     :
     INDEX($C$13:$H$20, MATCH($B22, $B$13:$B$20, 0), COLUMN()-COLUMN($C$22)+1)
   )
)</f>
        <v>96</v>
      </c>
      <c r="I22" s="338" t="s">
        <v>58</v>
      </c>
      <c r="J22" s="339"/>
      <c r="K22" s="120"/>
      <c r="L22" s="219"/>
      <c r="M22" s="231" t="str">
        <f t="shared" si="10"/>
        <v>8TH</v>
      </c>
      <c r="N22" s="224" t="str">
        <f t="shared" si="11"/>
        <v>LAING</v>
      </c>
      <c r="O22" s="224">
        <f t="shared" si="12"/>
        <v>3</v>
      </c>
      <c r="P22" s="225"/>
      <c r="Q22" s="219"/>
      <c r="R22" s="231" t="str">
        <f t="shared" si="13"/>
        <v>8TH</v>
      </c>
      <c r="S22" s="224" t="str">
        <f t="shared" si="8"/>
        <v>DEY</v>
      </c>
      <c r="T22" s="224">
        <f t="shared" si="9"/>
        <v>15</v>
      </c>
      <c r="U22" s="225" t="str">
        <f t="shared" si="14"/>
        <v>⬇</v>
      </c>
      <c r="V22" s="219"/>
      <c r="W22" s="231" t="str">
        <f t="shared" si="15"/>
        <v>8TH</v>
      </c>
      <c r="X22" s="224" t="str">
        <f t="shared" si="16"/>
        <v>DEY</v>
      </c>
      <c r="Y22" s="224">
        <f t="shared" si="17"/>
        <v>21</v>
      </c>
      <c r="Z22" s="225" t="str">
        <f t="shared" si="18"/>
        <v>–</v>
      </c>
      <c r="AA22" s="219"/>
      <c r="AB22" s="231" t="str">
        <f t="shared" si="19"/>
        <v>8TH</v>
      </c>
      <c r="AC22" s="224" t="str">
        <f t="shared" si="20"/>
        <v>DEY</v>
      </c>
      <c r="AD22" s="224">
        <f t="shared" si="21"/>
        <v>42</v>
      </c>
      <c r="AE22" s="225" t="str">
        <f t="shared" si="22"/>
        <v>–</v>
      </c>
      <c r="AF22" s="219"/>
      <c r="AG22" s="231" t="str">
        <f t="shared" si="23"/>
        <v>8TH</v>
      </c>
      <c r="AH22" s="224" t="str">
        <f t="shared" si="24"/>
        <v>BELLIS</v>
      </c>
      <c r="AI22" s="224">
        <f t="shared" si="25"/>
        <v>54</v>
      </c>
      <c r="AJ22" s="225" t="str">
        <f t="shared" si="26"/>
        <v>⬇</v>
      </c>
      <c r="AK22" s="219"/>
      <c r="AL22" s="231" t="str">
        <f t="shared" si="27"/>
        <v>8TH</v>
      </c>
      <c r="AM22" s="224" t="str">
        <f t="shared" si="28"/>
        <v>BELLIS</v>
      </c>
      <c r="AN22" s="224">
        <f t="shared" si="29"/>
        <v>57</v>
      </c>
      <c r="AO22" s="225" t="str">
        <f t="shared" si="30"/>
        <v>–</v>
      </c>
      <c r="AP22" s="219"/>
    </row>
    <row r="23" spans="1:42" x14ac:dyDescent="0.2">
      <c r="A23" s="206">
        <f t="shared" ref="A23:B29" si="31">A14</f>
        <v>2</v>
      </c>
      <c r="B23" s="208" t="str">
        <f t="shared" si="31"/>
        <v>BELLIS</v>
      </c>
      <c r="C23" s="206" t="str">
        <f>IF(COLUMN()=COLUMN($C$22),
   "",
   SUM(
     INDEX($C$13:$H$20, MATCH($B23, $B$13:$B$20, 0), 1)
     :
     INDEX($C$13:$H$20, MATCH($B23, $B$13:$B$20, 0), COLUMN()-COLUMN($C$22)+1)
   )
)</f>
        <v/>
      </c>
      <c r="D23" s="120">
        <f>IF(COLUMN()=COLUMN($C$22),
   "",
   SUM(
     INDEX($C$13:$H$20, MATCH($B23, $B$13:$B$20, 0), 1)
     :
     INDEX($C$13:$H$20, MATCH($B23, $B$13:$B$20, 0), COLUMN()-COLUMN($C$22)+1)
   )
)</f>
        <v>24</v>
      </c>
      <c r="E23" s="120">
        <f>IF(COLUMN()=COLUMN($C$22),
   "",
   SUM(
     INDEX($C$13:$H$20, MATCH($B23, $B$13:$B$20, 0), 1)
     :
     INDEX($C$13:$H$20, MATCH($B23, $B$13:$B$20, 0), COLUMN()-COLUMN($C$22)+1)
   )
)</f>
        <v>27</v>
      </c>
      <c r="F23" s="120">
        <f>IF(COLUMN()=COLUMN($C$22),
   "",
   SUM(
     INDEX($C$13:$H$20, MATCH($B23, $B$13:$B$20, 0), 1)
     :
     INDEX($C$13:$H$20, MATCH($B23, $B$13:$B$20, 0), COLUMN()-COLUMN($C$22)+1)
   )
)</f>
        <v>51</v>
      </c>
      <c r="G23" s="120">
        <f>IF(COLUMN()=COLUMN($C$22),
   "",
   SUM(
     INDEX($C$13:$H$20, MATCH($B23, $B$13:$B$20, 0), 1)
     :
     INDEX($C$13:$H$20, MATCH($B23, $B$13:$B$20, 0), COLUMN()-COLUMN($C$22)+1)
   )
)</f>
        <v>54</v>
      </c>
      <c r="H23" s="20">
        <f>IF(COLUMN()=COLUMN($C$22),
   "",
   SUM(
     INDEX($C$13:$H$20, MATCH($B23, $B$13:$B$20, 0), 1)
     :
     INDEX($C$13:$H$20, MATCH($B23, $B$13:$B$20, 0), COLUMN()-COLUMN($C$22)+1)
   )
)</f>
        <v>57</v>
      </c>
      <c r="I23" s="120"/>
      <c r="J23" s="120"/>
      <c r="K23" s="120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219"/>
      <c r="AO23" s="219"/>
      <c r="AP23" s="219"/>
    </row>
    <row r="24" spans="1:42" x14ac:dyDescent="0.2">
      <c r="A24" s="206">
        <f t="shared" si="31"/>
        <v>3</v>
      </c>
      <c r="B24" s="208" t="str">
        <f t="shared" si="31"/>
        <v>REILLY</v>
      </c>
      <c r="C24" s="206" t="str">
        <f>IF(COLUMN()=COLUMN($C$22),
   "",
   SUM(
     INDEX($C$13:$H$20, MATCH($B24, $B$13:$B$20, 0), 1)
     :
     INDEX($C$13:$H$20, MATCH($B24, $B$13:$B$20, 0), COLUMN()-COLUMN($C$22)+1)
   )
)</f>
        <v/>
      </c>
      <c r="D24" s="120">
        <f>IF(COLUMN()=COLUMN($C$22),
   "",
   SUM(
     INDEX($C$13:$H$20, MATCH($B24, $B$13:$B$20, 0), 1)
     :
     INDEX($C$13:$H$20, MATCH($B24, $B$13:$B$20, 0), COLUMN()-COLUMN($C$22)+1)
   )
)</f>
        <v>30</v>
      </c>
      <c r="E24" s="120">
        <f>IF(COLUMN()=COLUMN($C$22),
   "",
   SUM(
     INDEX($C$13:$H$20, MATCH($B24, $B$13:$B$20, 0), 1)
     :
     INDEX($C$13:$H$20, MATCH($B24, $B$13:$B$20, 0), COLUMN()-COLUMN($C$22)+1)
   )
)</f>
        <v>51</v>
      </c>
      <c r="F24" s="120">
        <f>IF(COLUMN()=COLUMN($C$22),
   "",
   SUM(
     INDEX($C$13:$H$20, MATCH($B24, $B$13:$B$20, 0), 1)
     :
     INDEX($C$13:$H$20, MATCH($B24, $B$13:$B$20, 0), COLUMN()-COLUMN($C$22)+1)
   )
)</f>
        <v>61.5</v>
      </c>
      <c r="G24" s="120">
        <f>IF(COLUMN()=COLUMN($C$22),
   "",
   SUM(
     INDEX($C$13:$H$20, MATCH($B24, $B$13:$B$20, 0), 1)
     :
     INDEX($C$13:$H$20, MATCH($B24, $B$13:$B$20, 0), COLUMN()-COLUMN($C$22)+1)
   )
)</f>
        <v>70.5</v>
      </c>
      <c r="H24" s="20">
        <f>IF(COLUMN()=COLUMN($C$22),
   "",
   SUM(
     INDEX($C$13:$H$20, MATCH($B24, $B$13:$B$20, 0), 1)
     :
     INDEX($C$13:$H$20, MATCH($B24, $B$13:$B$20, 0), COLUMN()-COLUMN($C$22)+1)
   )
)</f>
        <v>91.5</v>
      </c>
      <c r="I24" s="120"/>
      <c r="J24" s="120"/>
      <c r="K24" s="120"/>
      <c r="L24" s="219"/>
      <c r="M24" s="219"/>
      <c r="N24" s="219"/>
      <c r="O24" s="219"/>
      <c r="P24" s="340" t="s">
        <v>86</v>
      </c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  <c r="AK24" s="340"/>
      <c r="AL24" s="340"/>
      <c r="AM24" s="340"/>
      <c r="AN24" s="340"/>
      <c r="AO24" s="219"/>
      <c r="AP24" s="219"/>
    </row>
    <row r="25" spans="1:42" x14ac:dyDescent="0.2">
      <c r="A25" s="206">
        <f t="shared" si="31"/>
        <v>4</v>
      </c>
      <c r="B25" s="208" t="str">
        <f t="shared" si="31"/>
        <v>FINDLAY</v>
      </c>
      <c r="C25" s="206" t="str">
        <f>IF(COLUMN()=COLUMN($C$22),
   "",
   SUM(
     INDEX($C$13:$H$20, MATCH($B25, $B$13:$B$20, 0), 1)
     :
     INDEX($C$13:$H$20, MATCH($B25, $B$13:$B$20, 0), COLUMN()-COLUMN($C$22)+1)
   )
)</f>
        <v/>
      </c>
      <c r="D25" s="120">
        <f>IF(COLUMN()=COLUMN($C$22),
   "",
   SUM(
     INDEX($C$13:$H$20, MATCH($B25, $B$13:$B$20, 0), 1)
     :
     INDEX($C$13:$H$20, MATCH($B25, $B$13:$B$20, 0), COLUMN()-COLUMN($C$22)+1)
   )
)</f>
        <v>37.5</v>
      </c>
      <c r="E25" s="120">
        <f>IF(COLUMN()=COLUMN($C$22),
   "",
   SUM(
     INDEX($C$13:$H$20, MATCH($B25, $B$13:$B$20, 0), 1)
     :
     INDEX($C$13:$H$20, MATCH($B25, $B$13:$B$20, 0), COLUMN()-COLUMN($C$22)+1)
   )
)</f>
        <v>49.5</v>
      </c>
      <c r="F25" s="120">
        <f>IF(COLUMN()=COLUMN($C$22),
   "",
   SUM(
     INDEX($C$13:$H$20, MATCH($B25, $B$13:$B$20, 0), 1)
     :
     INDEX($C$13:$H$20, MATCH($B25, $B$13:$B$20, 0), COLUMN()-COLUMN($C$22)+1)
   )
)</f>
        <v>60</v>
      </c>
      <c r="G25" s="120">
        <f>IF(COLUMN()=COLUMN($C$22),
   "",
   SUM(
     INDEX($C$13:$H$20, MATCH($B25, $B$13:$B$20, 0), 1)
     :
     INDEX($C$13:$H$20, MATCH($B25, $B$13:$B$20, 0), COLUMN()-COLUMN($C$22)+1)
   )
)</f>
        <v>81</v>
      </c>
      <c r="H25" s="20">
        <f>IF(COLUMN()=COLUMN($C$22),
   "",
   SUM(
     INDEX($C$13:$H$20, MATCH($B25, $B$13:$B$20, 0), 1)
     :
     INDEX($C$13:$H$20, MATCH($B25, $B$13:$B$20, 0), COLUMN()-COLUMN($C$22)+1)
   )
)</f>
        <v>93</v>
      </c>
      <c r="I25" s="120"/>
      <c r="J25" s="120"/>
      <c r="K25" s="120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</row>
    <row r="26" spans="1:42" x14ac:dyDescent="0.2">
      <c r="A26" s="206">
        <f t="shared" si="31"/>
        <v>5</v>
      </c>
      <c r="B26" s="208" t="str">
        <f t="shared" si="31"/>
        <v>HOLLANDS</v>
      </c>
      <c r="C26" s="206" t="str">
        <f>IF(COLUMN()=COLUMN($C$22),
   "",
   SUM(
     INDEX($C$13:$H$20, MATCH($B26, $B$13:$B$20, 0), 1)
     :
     INDEX($C$13:$H$20, MATCH($B26, $B$13:$B$20, 0), COLUMN()-COLUMN($C$22)+1)
   )
)</f>
        <v/>
      </c>
      <c r="D26" s="120">
        <f>IF(COLUMN()=COLUMN($C$22),
   "",
   SUM(
     INDEX($C$13:$H$20, MATCH($B26, $B$13:$B$20, 0), 1)
     :
     INDEX($C$13:$H$20, MATCH($B26, $B$13:$B$20, 0), COLUMN()-COLUMN($C$22)+1)
   )
)</f>
        <v>34.5</v>
      </c>
      <c r="E26" s="120">
        <f>IF(COLUMN()=COLUMN($C$22),
   "",
   SUM(
     INDEX($C$13:$H$20, MATCH($B26, $B$13:$B$20, 0), 1)
     :
     INDEX($C$13:$H$20, MATCH($B26, $B$13:$B$20, 0), COLUMN()-COLUMN($C$22)+1)
   )
)</f>
        <v>49.5</v>
      </c>
      <c r="F26" s="120">
        <f>IF(COLUMN()=COLUMN($C$22),
   "",
   SUM(
     INDEX($C$13:$H$20, MATCH($B26, $B$13:$B$20, 0), 1)
     :
     INDEX($C$13:$H$20, MATCH($B26, $B$13:$B$20, 0), COLUMN()-COLUMN($C$22)+1)
   )
)</f>
        <v>60</v>
      </c>
      <c r="G26" s="120">
        <f>IF(COLUMN()=COLUMN($C$22),
   "",
   SUM(
     INDEX($C$13:$H$20, MATCH($B26, $B$13:$B$20, 0), 1)
     :
     INDEX($C$13:$H$20, MATCH($B26, $B$13:$B$20, 0), COLUMN()-COLUMN($C$22)+1)
   )
)</f>
        <v>76.5</v>
      </c>
      <c r="H26" s="20">
        <f>IF(COLUMN()=COLUMN($C$22),
   "",
   SUM(
     INDEX($C$13:$H$20, MATCH($B26, $B$13:$B$20, 0), 1)
     :
     INDEX($C$13:$H$20, MATCH($B26, $B$13:$B$20, 0), COLUMN()-COLUMN($C$22)+1)
   )
)</f>
        <v>91.5</v>
      </c>
      <c r="I26" s="120"/>
      <c r="J26" s="120"/>
      <c r="K26" s="120"/>
      <c r="L26" s="228"/>
      <c r="M26" s="228"/>
      <c r="N26" s="229">
        <f>IF(COUNTIF($O$15:$O$22,O15)&gt;1,"="&amp;RANK(O15,$O$15:$O$22,0),RANK(O15,$O$15:$O$22,0))</f>
        <v>1</v>
      </c>
      <c r="O26" s="229" t="str">
        <f>IF(N26=1,"1ST",IF(N26=2,"2ND",IF(N26=3,"3RD",IF(N26=4,"4TH",IF(N26=5,"5TH",IF(N26=6,"6TH",IF(N26=7,"7TH",IF(N26=8,"8TH",IF(N26="=1","=1ST",IF(N26="=2","=2ND",IF(N26="=3","=3RD",IF(N26="=4","=4TH",IF(N26="=5","=5TH",IF(N26="=6","=6TH",IF(N26="=7","=7TH")))))))))))))))</f>
        <v>1ST</v>
      </c>
      <c r="P26" s="228"/>
      <c r="Q26" s="228"/>
      <c r="R26" s="228"/>
      <c r="S26" s="229">
        <f>IF(COUNTIF($T$15:$T$22,T15)&gt;1,"="&amp;RANK(T15,$T$15:$T$22,0),RANK(T15,$T$15:$T$22,0))</f>
        <v>1</v>
      </c>
      <c r="T26" s="229" t="str">
        <f>IF(S26=1,"1ST",IF(S26=2,"2ND",IF(S26=3,"3RD",IF(S26=4,"4TH",IF(S26=5,"5TH",IF(S26=6,"6TH",IF(S26=7,"7TH",IF(S26=8,"8TH",IF(S26="=1","=1ST",IF(S26="=2","=2ND",IF(S26="=3","=3RD",IF(S26="=4","=4TH",IF(S26="=5","=5TH",IF(S26="=6","=6TH",IF(S26="=7","=7TH")))))))))))))))</f>
        <v>1ST</v>
      </c>
      <c r="U26" s="228"/>
      <c r="V26" s="228"/>
      <c r="W26" s="228"/>
      <c r="X26" s="229">
        <f>IF(COUNTIF($Y$15:$Y$22,Y15)&gt;1,"="&amp;RANK(Y15,$Y$15:$Y$22,0),RANK(Y15,$Y$15:$Y$22,0))</f>
        <v>1</v>
      </c>
      <c r="Y26" s="229" t="str">
        <f>IF(X26=1,"1ST",IF(X26=2,"2ND",IF(X26=3,"3RD",IF(X26=4,"4TH",IF(X26=5,"5TH",IF(X26=6,"6TH",IF(X26=7,"7TH",IF(X26=8,"8TH",IF(X26="=1","=1ST",IF(X26="=2","=2ND",IF(X26="=3","=3RD",IF(X26="=4","=4TH",IF(X26="=5","=5TH",IF(X26="=6","=6TH",IF(X26="=7","=7TH")))))))))))))))</f>
        <v>1ST</v>
      </c>
      <c r="Z26" s="228"/>
      <c r="AA26" s="228"/>
      <c r="AB26" s="228"/>
      <c r="AC26" s="229">
        <f>IF(COUNTIF($AD$15:$AD$22,AD15)&gt;1,"="&amp;RANK(AD15,$AD$15:$AD$22,0),RANK(AD15,$AD$15:$AD$22,0))</f>
        <v>1</v>
      </c>
      <c r="AD26" s="229" t="str">
        <f>IF(AC26=1,"1ST",IF(AC26=2,"2ND",IF(AC26=3,"3RD",IF(AC26=4,"4TH",IF(AC26=5,"5TH",IF(AC26=6,"6TH",IF(AC26=7,"7TH",IF(AC26=8,"8TH",IF(AC26="=1","=1ST",IF(AC26="=2","=2ND",IF(AC26="=3","=3RD",IF(AC26="=4","=4TH",IF(AC26="=5","=5TH",IF(AC26="=6","=6TH",IF(AC26="=7","=7TH")))))))))))))))</f>
        <v>1ST</v>
      </c>
      <c r="AE26" s="228"/>
      <c r="AF26" s="228"/>
      <c r="AG26" s="228"/>
      <c r="AH26" s="229">
        <f>IF(COUNTIF($AI$15:$AI$22,AI15)&gt;1,"="&amp;RANK(AI15,$AI$15:$AI$22,0),RANK(AI15,$AI$15:$AI$22,0))</f>
        <v>1</v>
      </c>
      <c r="AI26" s="229" t="str">
        <f>IF(AH26=1,"1ST",IF(AH26=2,"2ND",IF(AH26=3,"3RD",IF(AH26=4,"4TH",IF(AH26=5,"5TH",IF(AH26=6,"6TH",IF(AH26=7,"7TH",IF(AH26=8,"8TH",IF(AH26="=1","=1ST",IF(AH26="=2","=2ND",IF(AH26="=3","=3RD",IF(AH26="=4","=4TH",IF(AH26="=5","=5TH",IF(AH26="=6","=6TH",IF(AH26="=7","=7TH")))))))))))))))</f>
        <v>1ST</v>
      </c>
      <c r="AJ26" s="228"/>
      <c r="AK26" s="228"/>
      <c r="AL26" s="228"/>
      <c r="AM26" s="229">
        <f>IF(COUNTIF($AN$15:$AN$22,AN15)&gt;1,"="&amp;RANK(AN15,$AN$15:$AN$22,0),RANK(AN15,$AN$15:$AN$22,0))</f>
        <v>1</v>
      </c>
      <c r="AN26" s="229" t="str">
        <f>IF(AM26=1,"1ST",IF(AM26=2,"2ND",IF(AM26=3,"3RD",IF(AM26=4,"4TH",IF(AM26=5,"5TH",IF(AM26=6,"6TH",IF(AM26=7,"7TH",IF(AM26=8,"8TH",IF(AM26="=1","=1ST",IF(AM26="=2","=2ND",IF(AM26="=3","=3RD",IF(AM26="=4","=4TH",IF(AM26="=5","=5TH",IF(AM26="=6","=6TH",IF(AM26="=7","=7TH")))))))))))))))</f>
        <v>1ST</v>
      </c>
      <c r="AO26" s="228"/>
      <c r="AP26" s="228"/>
    </row>
    <row r="27" spans="1:42" x14ac:dyDescent="0.2">
      <c r="A27" s="206">
        <f t="shared" si="31"/>
        <v>6</v>
      </c>
      <c r="B27" s="208" t="str">
        <f t="shared" si="31"/>
        <v>DEY</v>
      </c>
      <c r="C27" s="206" t="str">
        <f>IF(COLUMN()=COLUMN($C$22),
   "",
   SUM(
     INDEX($C$13:$H$20, MATCH($B27, $B$13:$B$20, 0), 1)
     :
     INDEX($C$13:$H$20, MATCH($B27, $B$13:$B$20, 0), COLUMN()-COLUMN($C$22)+1)
   )
)</f>
        <v/>
      </c>
      <c r="D27" s="120">
        <f>IF(COLUMN()=COLUMN($C$22),
   "",
   SUM(
     INDEX($C$13:$H$20, MATCH($B27, $B$13:$B$20, 0), 1)
     :
     INDEX($C$13:$H$20, MATCH($B27, $B$13:$B$20, 0), COLUMN()-COLUMN($C$22)+1)
   )
)</f>
        <v>15</v>
      </c>
      <c r="E27" s="120">
        <f>IF(COLUMN()=COLUMN($C$22),
   "",
   SUM(
     INDEX($C$13:$H$20, MATCH($B27, $B$13:$B$20, 0), 1)
     :
     INDEX($C$13:$H$20, MATCH($B27, $B$13:$B$20, 0), COLUMN()-COLUMN($C$22)+1)
   )
)</f>
        <v>21</v>
      </c>
      <c r="F27" s="120">
        <f>IF(COLUMN()=COLUMN($C$22),
   "",
   SUM(
     INDEX($C$13:$H$20, MATCH($B27, $B$13:$B$20, 0), 1)
     :
     INDEX($C$13:$H$20, MATCH($B27, $B$13:$B$20, 0), COLUMN()-COLUMN($C$22)+1)
   )
)</f>
        <v>42</v>
      </c>
      <c r="G27" s="120">
        <f>IF(COLUMN()=COLUMN($C$22),
   "",
   SUM(
     INDEX($C$13:$H$20, MATCH($B27, $B$13:$B$20, 0), 1)
     :
     INDEX($C$13:$H$20, MATCH($B27, $B$13:$B$20, 0), COLUMN()-COLUMN($C$22)+1)
   )
)</f>
        <v>58.5</v>
      </c>
      <c r="H27" s="20">
        <f>IF(COLUMN()=COLUMN($C$22),
   "",
   SUM(
     INDEX($C$13:$H$20, MATCH($B27, $B$13:$B$20, 0), 1)
     :
     INDEX($C$13:$H$20, MATCH($B27, $B$13:$B$20, 0), COLUMN()-COLUMN($C$22)+1)
   )
)</f>
        <v>64.5</v>
      </c>
      <c r="I27" s="120"/>
      <c r="J27" s="120"/>
      <c r="K27" s="120"/>
      <c r="L27" s="228"/>
      <c r="M27" s="228"/>
      <c r="N27" s="229">
        <f t="shared" ref="N27:N33" si="32">IF(COUNTIF($O$15:$O$22,O16)&gt;1,"="&amp;RANK(O16,$O$15:$O$22,0),RANK(O16,$O$15:$O$22,0))</f>
        <v>2</v>
      </c>
      <c r="O27" s="229" t="str">
        <f t="shared" ref="O27:O33" si="33">IF(N27=1,"1ST",IF(N27=2,"2ND",IF(N27=3,"3RD",IF(N27=4,"4TH",IF(N27=5,"5TH",IF(N27=6,"6TH",IF(N27=7,"7TH",IF(N27=8,"8TH",IF(N27="=1","=1ST",IF(N27="=2","=2ND",IF(N27="=3","=3RD",IF(N27="=4","=4TH",IF(N27="=5","=5TH",IF(N27="=6","=6TH",IF(N27="=7","=7TH")))))))))))))))</f>
        <v>2ND</v>
      </c>
      <c r="P27" s="228"/>
      <c r="Q27" s="228"/>
      <c r="R27" s="228"/>
      <c r="S27" s="229">
        <f t="shared" ref="S27:S33" si="34">IF(COUNTIF($T$15:$T$22,T16)&gt;1,"="&amp;RANK(T16,$T$15:$T$22,0),RANK(T16,$T$15:$T$22,0))</f>
        <v>2</v>
      </c>
      <c r="T27" s="229" t="str">
        <f t="shared" ref="T27:T33" si="35">IF(S27=1,"1ST",IF(S27=2,"2ND",IF(S27=3,"3RD",IF(S27=4,"4TH",IF(S27=5,"5TH",IF(S27=6,"6TH",IF(S27=7,"7TH",IF(S27=8,"8TH",IF(S27="=1","=1ST",IF(S27="=2","=2ND",IF(S27="=3","=3RD",IF(S27="=4","=4TH",IF(S27="=5","=5TH",IF(S27="=6","=6TH",IF(S27="=7","=7TH")))))))))))))))</f>
        <v>2ND</v>
      </c>
      <c r="U27" s="228"/>
      <c r="V27" s="228"/>
      <c r="W27" s="228"/>
      <c r="X27" s="229">
        <f t="shared" ref="X27:X33" si="36">IF(COUNTIF($Y$15:$Y$22,Y16)&gt;1,"="&amp;RANK(Y16,$Y$15:$Y$22,0),RANK(Y16,$Y$15:$Y$22,0))</f>
        <v>2</v>
      </c>
      <c r="Y27" s="229" t="str">
        <f t="shared" ref="Y27:Y33" si="37">IF(X27=1,"1ST",IF(X27=2,"2ND",IF(X27=3,"3RD",IF(X27=4,"4TH",IF(X27=5,"5TH",IF(X27=6,"6TH",IF(X27=7,"7TH",IF(X27=8,"8TH",IF(X27="=1","=1ST",IF(X27="=2","=2ND",IF(X27="=3","=3RD",IF(X27="=4","=4TH",IF(X27="=5","=5TH",IF(X27="=6","=6TH",IF(X27="=7","=7TH")))))))))))))))</f>
        <v>2ND</v>
      </c>
      <c r="Z27" s="228"/>
      <c r="AA27" s="228"/>
      <c r="AB27" s="228"/>
      <c r="AC27" s="229">
        <f t="shared" ref="AC27:AC33" si="38">IF(COUNTIF($AD$15:$AD$22,AD16)&gt;1,"="&amp;RANK(AD16,$AD$15:$AD$22,0),RANK(AD16,$AD$15:$AD$22,0))</f>
        <v>2</v>
      </c>
      <c r="AD27" s="229" t="str">
        <f t="shared" ref="AD27:AD33" si="39">IF(AC27=1,"1ST",IF(AC27=2,"2ND",IF(AC27=3,"3RD",IF(AC27=4,"4TH",IF(AC27=5,"5TH",IF(AC27=6,"6TH",IF(AC27=7,"7TH",IF(AC27=8,"8TH",IF(AC27="=1","=1ST",IF(AC27="=2","=2ND",IF(AC27="=3","=3RD",IF(AC27="=4","=4TH",IF(AC27="=5","=5TH",IF(AC27="=6","=6TH",IF(AC27="=7","=7TH")))))))))))))))</f>
        <v>2ND</v>
      </c>
      <c r="AE27" s="228"/>
      <c r="AF27" s="228"/>
      <c r="AG27" s="228"/>
      <c r="AH27" s="229">
        <f t="shared" ref="AH27:AH33" si="40">IF(COUNTIF($AI$15:$AI$22,AI16)&gt;1,"="&amp;RANK(AI16,$AI$15:$AI$22,0),RANK(AI16,$AI$15:$AI$22,0))</f>
        <v>2</v>
      </c>
      <c r="AI27" s="229" t="str">
        <f t="shared" ref="AI27:AI33" si="41">IF(AH27=1,"1ST",IF(AH27=2,"2ND",IF(AH27=3,"3RD",IF(AH27=4,"4TH",IF(AH27=5,"5TH",IF(AH27=6,"6TH",IF(AH27=7,"7TH",IF(AH27=8,"8TH",IF(AH27="=1","=1ST",IF(AH27="=2","=2ND",IF(AH27="=3","=3RD",IF(AH27="=4","=4TH",IF(AH27="=5","=5TH",IF(AH27="=6","=6TH",IF(AH27="=7","=7TH")))))))))))))))</f>
        <v>2ND</v>
      </c>
      <c r="AJ27" s="228"/>
      <c r="AK27" s="228"/>
      <c r="AL27" s="228"/>
      <c r="AM27" s="229">
        <f t="shared" ref="AM27:AM33" si="42">IF(COUNTIF($AN$15:$AN$22,AN16)&gt;1,"="&amp;RANK(AN16,$AN$15:$AN$22,0),RANK(AN16,$AN$15:$AN$22,0))</f>
        <v>2</v>
      </c>
      <c r="AN27" s="229" t="str">
        <f t="shared" ref="AN27:AN33" si="43">IF(AM27=1,"1ST",IF(AM27=2,"2ND",IF(AM27=3,"3RD",IF(AM27=4,"4TH",IF(AM27=5,"5TH",IF(AM27=6,"6TH",IF(AM27=7,"7TH",IF(AM27=8,"8TH",IF(AM27="=1","=1ST",IF(AM27="=2","=2ND",IF(AM27="=3","=3RD",IF(AM27="=4","=4TH",IF(AM27="=5","=5TH",IF(AM27="=6","=6TH",IF(AM27="=7","=7TH")))))))))))))))</f>
        <v>2ND</v>
      </c>
      <c r="AO27" s="228"/>
      <c r="AP27" s="228"/>
    </row>
    <row r="28" spans="1:42" x14ac:dyDescent="0.2">
      <c r="A28" s="206">
        <f t="shared" si="31"/>
        <v>7</v>
      </c>
      <c r="B28" s="208" t="str">
        <f t="shared" si="31"/>
        <v>DONOVAN</v>
      </c>
      <c r="C28" s="206" t="str">
        <f>IF(COLUMN()=COLUMN($C$22),
   "",
   SUM(
     INDEX($C$13:$H$20, MATCH($B28, $B$13:$B$20, 0), 1)
     :
     INDEX($C$13:$H$20, MATCH($B28, $B$13:$B$20, 0), COLUMN()-COLUMN($C$22)+1)
   )
)</f>
        <v/>
      </c>
      <c r="D28" s="120">
        <f>IF(COLUMN()=COLUMN($C$22),
   "",
   SUM(
     INDEX($C$13:$H$20, MATCH($B28, $B$13:$B$20, 0), 1)
     :
     INDEX($C$13:$H$20, MATCH($B28, $B$13:$B$20, 0), COLUMN()-COLUMN($C$22)+1)
   )
)</f>
        <v>25.5</v>
      </c>
      <c r="E28" s="120">
        <f>IF(COLUMN()=COLUMN($C$22),
   "",
   SUM(
     INDEX($C$13:$H$20, MATCH($B28, $B$13:$B$20, 0), 1)
     :
     INDEX($C$13:$H$20, MATCH($B28, $B$13:$B$20, 0), COLUMN()-COLUMN($C$22)+1)
   )
)</f>
        <v>34.5</v>
      </c>
      <c r="F28" s="120">
        <f>IF(COLUMN()=COLUMN($C$22),
   "",
   SUM(
     INDEX($C$13:$H$20, MATCH($B28, $B$13:$B$20, 0), 1)
     :
     INDEX($C$13:$H$20, MATCH($B28, $B$13:$B$20, 0), COLUMN()-COLUMN($C$22)+1)
   )
)</f>
        <v>45</v>
      </c>
      <c r="G28" s="120">
        <f>IF(COLUMN()=COLUMN($C$22),
   "",
   SUM(
     INDEX($C$13:$H$20, MATCH($B28, $B$13:$B$20, 0), 1)
     :
     INDEX($C$13:$H$20, MATCH($B28, $B$13:$B$20, 0), COLUMN()-COLUMN($C$22)+1)
   )
)</f>
        <v>57</v>
      </c>
      <c r="H28" s="20">
        <f>IF(COLUMN()=COLUMN($C$22),
   "",
   SUM(
     INDEX($C$13:$H$20, MATCH($B28, $B$13:$B$20, 0), 1)
     :
     INDEX($C$13:$H$20, MATCH($B28, $B$13:$B$20, 0), COLUMN()-COLUMN($C$22)+1)
   )
)</f>
        <v>66</v>
      </c>
      <c r="I28" s="120"/>
      <c r="J28" s="120"/>
      <c r="K28" s="120"/>
      <c r="L28" s="228"/>
      <c r="M28" s="228"/>
      <c r="N28" s="229">
        <f t="shared" si="32"/>
        <v>3</v>
      </c>
      <c r="O28" s="229" t="str">
        <f t="shared" si="33"/>
        <v>3RD</v>
      </c>
      <c r="P28" s="228"/>
      <c r="Q28" s="228"/>
      <c r="R28" s="228"/>
      <c r="S28" s="229">
        <f t="shared" si="34"/>
        <v>3</v>
      </c>
      <c r="T28" s="229" t="str">
        <f t="shared" si="35"/>
        <v>3RD</v>
      </c>
      <c r="U28" s="228"/>
      <c r="V28" s="228"/>
      <c r="W28" s="228"/>
      <c r="X28" s="229" t="str">
        <f t="shared" si="36"/>
        <v>=3</v>
      </c>
      <c r="Y28" s="229" t="str">
        <f t="shared" si="37"/>
        <v>=3RD</v>
      </c>
      <c r="Z28" s="228"/>
      <c r="AA28" s="228"/>
      <c r="AB28" s="228"/>
      <c r="AC28" s="229" t="str">
        <f t="shared" si="38"/>
        <v>=3</v>
      </c>
      <c r="AD28" s="229" t="str">
        <f t="shared" si="39"/>
        <v>=3RD</v>
      </c>
      <c r="AE28" s="228"/>
      <c r="AF28" s="228"/>
      <c r="AG28" s="228"/>
      <c r="AH28" s="229">
        <f t="shared" si="40"/>
        <v>3</v>
      </c>
      <c r="AI28" s="229" t="str">
        <f t="shared" si="41"/>
        <v>3RD</v>
      </c>
      <c r="AJ28" s="228"/>
      <c r="AK28" s="228"/>
      <c r="AL28" s="228"/>
      <c r="AM28" s="229" t="str">
        <f t="shared" si="42"/>
        <v>=3</v>
      </c>
      <c r="AN28" s="229" t="str">
        <f t="shared" si="43"/>
        <v>=3RD</v>
      </c>
      <c r="AO28" s="228"/>
      <c r="AP28" s="228"/>
    </row>
    <row r="29" spans="1:42" x14ac:dyDescent="0.2">
      <c r="A29" s="211">
        <f t="shared" si="31"/>
        <v>8</v>
      </c>
      <c r="B29" s="212" t="str">
        <f t="shared" si="31"/>
        <v>LAING</v>
      </c>
      <c r="C29" s="211" t="str">
        <f>IF(COLUMN()=COLUMN($C$22),
   "",
   SUM(
     INDEX($C$13:$H$20, MATCH($B29, $B$13:$B$20, 0), 1)
     :
     INDEX($C$13:$H$20, MATCH($B29, $B$13:$B$20, 0), COLUMN()-COLUMN($C$22)+1)
   )
)</f>
        <v/>
      </c>
      <c r="D29" s="217">
        <f>IF(COLUMN()=COLUMN($C$22),
   "",
   SUM(
     INDEX($C$13:$H$20, MATCH($B29, $B$13:$B$20, 0), 1)
     :
     INDEX($C$13:$H$20, MATCH($B29, $B$13:$B$20, 0), COLUMN()-COLUMN($C$22)+1)
   )
)</f>
        <v>18</v>
      </c>
      <c r="E29" s="217">
        <f>IF(COLUMN()=COLUMN($C$22),
   "",
   SUM(
     INDEX($C$13:$H$20, MATCH($B29, $B$13:$B$20, 0), 1)
     :
     INDEX($C$13:$H$20, MATCH($B29, $B$13:$B$20, 0), COLUMN()-COLUMN($C$22)+1)
   )
)</f>
        <v>36</v>
      </c>
      <c r="F29" s="217">
        <f>IF(COLUMN()=COLUMN($C$22),
   "",
   SUM(
     INDEX($C$13:$H$20, MATCH($B29, $B$13:$B$20, 0), 1)
     :
     INDEX($C$13:$H$20, MATCH($B29, $B$13:$B$20, 0), COLUMN()-COLUMN($C$22)+1)
   )
)</f>
        <v>46.5</v>
      </c>
      <c r="G29" s="217">
        <f>IF(COLUMN()=COLUMN($C$22),
   "",
   SUM(
     INDEX($C$13:$H$20, MATCH($B29, $B$13:$B$20, 0), 1)
     :
     INDEX($C$13:$H$20, MATCH($B29, $B$13:$B$20, 0), COLUMN()-COLUMN($C$22)+1)
   )
)</f>
        <v>70.5</v>
      </c>
      <c r="H29" s="218">
        <f>IF(COLUMN()=COLUMN($C$22),
   "",
   SUM(
     INDEX($C$13:$H$20, MATCH($B29, $B$13:$B$20, 0), 1)
     :
     INDEX($C$13:$H$20, MATCH($B29, $B$13:$B$20, 0), COLUMN()-COLUMN($C$22)+1)
   )
)</f>
        <v>88.5</v>
      </c>
      <c r="I29" s="120"/>
      <c r="J29" s="120"/>
      <c r="K29" s="120"/>
      <c r="L29" s="228"/>
      <c r="M29" s="228"/>
      <c r="N29" s="229">
        <f t="shared" si="32"/>
        <v>4</v>
      </c>
      <c r="O29" s="229" t="str">
        <f t="shared" si="33"/>
        <v>4TH</v>
      </c>
      <c r="P29" s="228"/>
      <c r="Q29" s="228"/>
      <c r="R29" s="228"/>
      <c r="S29" s="229">
        <f t="shared" si="34"/>
        <v>4</v>
      </c>
      <c r="T29" s="229" t="str">
        <f t="shared" si="35"/>
        <v>4TH</v>
      </c>
      <c r="U29" s="228"/>
      <c r="V29" s="228"/>
      <c r="W29" s="228"/>
      <c r="X29" s="229" t="str">
        <f t="shared" si="36"/>
        <v>=3</v>
      </c>
      <c r="Y29" s="229" t="str">
        <f t="shared" si="37"/>
        <v>=3RD</v>
      </c>
      <c r="Z29" s="228"/>
      <c r="AA29" s="228"/>
      <c r="AB29" s="228"/>
      <c r="AC29" s="229" t="str">
        <f t="shared" si="38"/>
        <v>=3</v>
      </c>
      <c r="AD29" s="229" t="str">
        <f t="shared" si="39"/>
        <v>=3RD</v>
      </c>
      <c r="AE29" s="228"/>
      <c r="AF29" s="228"/>
      <c r="AG29" s="228"/>
      <c r="AH29" s="229" t="str">
        <f t="shared" si="40"/>
        <v>=4</v>
      </c>
      <c r="AI29" s="229" t="str">
        <f t="shared" si="41"/>
        <v>=4TH</v>
      </c>
      <c r="AJ29" s="228"/>
      <c r="AK29" s="228"/>
      <c r="AL29" s="228"/>
      <c r="AM29" s="229" t="str">
        <f t="shared" si="42"/>
        <v>=3</v>
      </c>
      <c r="AN29" s="229" t="str">
        <f t="shared" si="43"/>
        <v>=3RD</v>
      </c>
      <c r="AO29" s="228"/>
      <c r="AP29" s="228"/>
    </row>
    <row r="30" spans="1:42" x14ac:dyDescent="0.2">
      <c r="A30" s="120"/>
      <c r="B30" s="120"/>
      <c r="C30" s="120"/>
      <c r="D30" s="24" t="s">
        <v>59</v>
      </c>
      <c r="E30" s="25" t="s">
        <v>60</v>
      </c>
      <c r="F30" s="25" t="s">
        <v>61</v>
      </c>
      <c r="G30" s="25" t="s">
        <v>62</v>
      </c>
      <c r="H30" s="26" t="s">
        <v>63</v>
      </c>
      <c r="I30" s="120"/>
      <c r="J30" s="120"/>
      <c r="K30" s="120"/>
      <c r="L30" s="228"/>
      <c r="M30" s="228"/>
      <c r="N30" s="229">
        <f t="shared" si="32"/>
        <v>5</v>
      </c>
      <c r="O30" s="229" t="str">
        <f t="shared" si="33"/>
        <v>5TH</v>
      </c>
      <c r="P30" s="228"/>
      <c r="Q30" s="228"/>
      <c r="R30" s="228"/>
      <c r="S30" s="229">
        <f t="shared" si="34"/>
        <v>5</v>
      </c>
      <c r="T30" s="229" t="str">
        <f t="shared" si="35"/>
        <v>5TH</v>
      </c>
      <c r="U30" s="228"/>
      <c r="V30" s="228"/>
      <c r="W30" s="228"/>
      <c r="X30" s="229">
        <f t="shared" si="36"/>
        <v>5</v>
      </c>
      <c r="Y30" s="229" t="str">
        <f t="shared" si="37"/>
        <v>5TH</v>
      </c>
      <c r="Z30" s="228"/>
      <c r="AA30" s="228"/>
      <c r="AB30" s="228"/>
      <c r="AC30" s="229">
        <f t="shared" si="38"/>
        <v>5</v>
      </c>
      <c r="AD30" s="229" t="str">
        <f t="shared" si="39"/>
        <v>5TH</v>
      </c>
      <c r="AE30" s="228"/>
      <c r="AF30" s="228"/>
      <c r="AG30" s="228"/>
      <c r="AH30" s="229" t="str">
        <f t="shared" si="40"/>
        <v>=4</v>
      </c>
      <c r="AI30" s="229" t="str">
        <f t="shared" si="41"/>
        <v>=4TH</v>
      </c>
      <c r="AJ30" s="228"/>
      <c r="AK30" s="228"/>
      <c r="AL30" s="228"/>
      <c r="AM30" s="229">
        <f t="shared" si="42"/>
        <v>5</v>
      </c>
      <c r="AN30" s="229" t="str">
        <f t="shared" si="43"/>
        <v>5TH</v>
      </c>
      <c r="AO30" s="228"/>
      <c r="AP30" s="228"/>
    </row>
    <row r="31" spans="1:42" x14ac:dyDescent="0.2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228"/>
      <c r="M31" s="228"/>
      <c r="N31" s="229" t="str">
        <f t="shared" si="32"/>
        <v>=6</v>
      </c>
      <c r="O31" s="229" t="str">
        <f t="shared" si="33"/>
        <v>=6TH</v>
      </c>
      <c r="P31" s="228"/>
      <c r="Q31" s="228"/>
      <c r="R31" s="228"/>
      <c r="S31" s="229">
        <f t="shared" si="34"/>
        <v>6</v>
      </c>
      <c r="T31" s="229" t="str">
        <f t="shared" si="35"/>
        <v>6TH</v>
      </c>
      <c r="U31" s="228"/>
      <c r="V31" s="228"/>
      <c r="W31" s="228"/>
      <c r="X31" s="229">
        <f t="shared" si="36"/>
        <v>6</v>
      </c>
      <c r="Y31" s="229" t="str">
        <f t="shared" si="37"/>
        <v>6TH</v>
      </c>
      <c r="Z31" s="228"/>
      <c r="AA31" s="228"/>
      <c r="AB31" s="228"/>
      <c r="AC31" s="229">
        <f t="shared" si="38"/>
        <v>6</v>
      </c>
      <c r="AD31" s="229" t="str">
        <f t="shared" si="39"/>
        <v>6TH</v>
      </c>
      <c r="AE31" s="228"/>
      <c r="AF31" s="228"/>
      <c r="AG31" s="228"/>
      <c r="AH31" s="229">
        <f t="shared" si="40"/>
        <v>6</v>
      </c>
      <c r="AI31" s="229" t="str">
        <f t="shared" si="41"/>
        <v>6TH</v>
      </c>
      <c r="AJ31" s="228"/>
      <c r="AK31" s="228"/>
      <c r="AL31" s="228"/>
      <c r="AM31" s="229">
        <f t="shared" si="42"/>
        <v>6</v>
      </c>
      <c r="AN31" s="229" t="str">
        <f t="shared" si="43"/>
        <v>6TH</v>
      </c>
      <c r="AO31" s="228"/>
      <c r="AP31" s="228"/>
    </row>
    <row r="32" spans="1:42" x14ac:dyDescent="0.2">
      <c r="A32" s="17"/>
      <c r="B32" s="216"/>
      <c r="C32" s="216" t="str">
        <f>B13</f>
        <v>STONES</v>
      </c>
      <c r="D32" s="216" t="str" cm="1">
        <f t="array" ref="D32">INDEX($B$22:$B$29,
  MATCH(
    LARGE(INDEX($D$22:$H$29,,COLUMN(D$1)-COLUMN($D$1)+1) + ROW($B$22:$B$29)/100000,
          ROW()-ROW($D$32)+1),
    INDEX($D$22:$H$29,,COLUMN(D$1)-COLUMN($D$1)+1) + ROW($B$22:$B$29)/100000,
    0
  )
)</f>
        <v>FINDLAY</v>
      </c>
      <c r="E32" s="216" t="str" cm="1">
        <f t="array" ref="E32">INDEX($B$22:$B$29,
  MATCH(
    LARGE(INDEX($D$22:$H$29,,COLUMN(E$1)-COLUMN($D$1)+1) + ROW($B$22:$B$29)/100000,
          ROW()-ROW($D$32)+1),
    INDEX($D$22:$H$29,,COLUMN(E$1)-COLUMN($D$1)+1) + ROW($B$22:$B$29)/100000,
    0
  )
)</f>
        <v>STONES</v>
      </c>
      <c r="F32" s="216" t="str" cm="1">
        <f t="array" ref="F32">INDEX($B$22:$B$29,
  MATCH(
    LARGE(INDEX($D$22:$H$29,,COLUMN(F$1)-COLUMN($D$1)+1) + ROW($B$22:$B$29)/100000,
          ROW()-ROW($D$32)+1),
    INDEX($D$22:$H$29,,COLUMN(F$1)-COLUMN($D$1)+1) + ROW($B$22:$B$29)/100000,
    0
  )
)</f>
        <v>STONES</v>
      </c>
      <c r="G32" s="216" t="str" cm="1">
        <f t="array" ref="G32">INDEX($B$22:$B$29,
  MATCH(
    LARGE(INDEX($D$22:$H$29,,COLUMN(G$1)-COLUMN($D$1)+1) + ROW($B$22:$B$29)/100000,
          ROW()-ROW($D$32)+1),
    INDEX($D$22:$H$29,,COLUMN(G$1)-COLUMN($D$1)+1) + ROW($B$22:$B$29)/100000,
    0
  )
)</f>
        <v>FINDLAY</v>
      </c>
      <c r="H32" s="18" t="str" cm="1">
        <f t="array" ref="H32">INDEX($B$22:$B$29,
  MATCH(
    LARGE(INDEX($D$22:$H$29,,COLUMN(H$1)-COLUMN($D$1)+1) + ROW($B$22:$B$29)/100000,
          ROW()-ROW($D$32)+1),
    INDEX($D$22:$H$29,,COLUMN(H$1)-COLUMN($D$1)+1) + ROW($B$22:$B$29)/100000,
    0
  )
)</f>
        <v>STONES</v>
      </c>
      <c r="I32" s="338" t="s">
        <v>64</v>
      </c>
      <c r="J32" s="339"/>
      <c r="K32" s="120"/>
      <c r="L32" s="228"/>
      <c r="M32" s="228"/>
      <c r="N32" s="229" t="str">
        <f t="shared" si="32"/>
        <v>=6</v>
      </c>
      <c r="O32" s="229" t="str">
        <f t="shared" si="33"/>
        <v>=6TH</v>
      </c>
      <c r="P32" s="228"/>
      <c r="Q32" s="228"/>
      <c r="R32" s="228"/>
      <c r="S32" s="229">
        <f t="shared" si="34"/>
        <v>7</v>
      </c>
      <c r="T32" s="229" t="str">
        <f t="shared" si="35"/>
        <v>7TH</v>
      </c>
      <c r="U32" s="228"/>
      <c r="V32" s="228"/>
      <c r="W32" s="228"/>
      <c r="X32" s="229">
        <f t="shared" si="36"/>
        <v>7</v>
      </c>
      <c r="Y32" s="229" t="str">
        <f t="shared" si="37"/>
        <v>7TH</v>
      </c>
      <c r="Z32" s="228"/>
      <c r="AA32" s="228"/>
      <c r="AB32" s="228"/>
      <c r="AC32" s="229">
        <f t="shared" si="38"/>
        <v>7</v>
      </c>
      <c r="AD32" s="229" t="str">
        <f t="shared" si="39"/>
        <v>7TH</v>
      </c>
      <c r="AE32" s="228"/>
      <c r="AF32" s="228"/>
      <c r="AG32" s="228"/>
      <c r="AH32" s="229">
        <f t="shared" si="40"/>
        <v>7</v>
      </c>
      <c r="AI32" s="229" t="str">
        <f t="shared" si="41"/>
        <v>7TH</v>
      </c>
      <c r="AJ32" s="228"/>
      <c r="AK32" s="228"/>
      <c r="AL32" s="228"/>
      <c r="AM32" s="229">
        <f t="shared" si="42"/>
        <v>7</v>
      </c>
      <c r="AN32" s="229" t="str">
        <f t="shared" si="43"/>
        <v>7TH</v>
      </c>
      <c r="AO32" s="228"/>
      <c r="AP32" s="228"/>
    </row>
    <row r="33" spans="1:42" x14ac:dyDescent="0.2">
      <c r="A33" s="19"/>
      <c r="B33" s="120"/>
      <c r="C33" s="120" t="str">
        <f t="shared" ref="C33:C39" si="44">B14</f>
        <v>BELLIS</v>
      </c>
      <c r="D33" s="120" t="str" cm="1">
        <f t="array" ref="D33">INDEX($B$22:$B$29,
  MATCH(
    LARGE(INDEX($D$22:$H$29,,COLUMN(D$1)-COLUMN($D$1)+1) + ROW($B$22:$B$29)/100000,
          ROW()-ROW($D$32)+1),
    INDEX($D$22:$H$29,,COLUMN(D$1)-COLUMN($D$1)+1) + ROW($B$22:$B$29)/100000,
    0
  )
)</f>
        <v>HOLLANDS</v>
      </c>
      <c r="E33" s="120" t="str" cm="1">
        <f t="array" ref="E33">INDEX($B$22:$B$29,
  MATCH(
    LARGE(INDEX($D$22:$H$29,,COLUMN(E$1)-COLUMN($D$1)+1) + ROW($B$22:$B$29)/100000,
          ROW()-ROW($D$32)+1),
    INDEX($D$22:$H$29,,COLUMN(E$1)-COLUMN($D$1)+1) + ROW($B$22:$B$29)/100000,
    0
  )
)</f>
        <v>REILLY</v>
      </c>
      <c r="F33" s="120" t="str" cm="1">
        <f t="array" ref="F33">INDEX($B$22:$B$29,
  MATCH(
    LARGE(INDEX($D$22:$H$29,,COLUMN(F$1)-COLUMN($D$1)+1) + ROW($B$22:$B$29)/100000,
          ROW()-ROW($D$32)+1),
    INDEX($D$22:$H$29,,COLUMN(F$1)-COLUMN($D$1)+1) + ROW($B$22:$B$29)/100000,
    0
  )
)</f>
        <v>REILLY</v>
      </c>
      <c r="G33" s="120" t="str" cm="1">
        <f t="array" ref="G33">INDEX($B$22:$B$29,
  MATCH(
    LARGE(INDEX($D$22:$H$29,,COLUMN(G$1)-COLUMN($D$1)+1) + ROW($B$22:$B$29)/100000,
          ROW()-ROW($D$32)+1),
    INDEX($D$22:$H$29,,COLUMN(G$1)-COLUMN($D$1)+1) + ROW($B$22:$B$29)/100000,
    0
  )
)</f>
        <v>HOLLANDS</v>
      </c>
      <c r="H33" s="20" t="str" cm="1">
        <f t="array" ref="H33">INDEX($B$22:$B$29,
  MATCH(
    LARGE(INDEX($D$22:$H$29,,COLUMN(H$1)-COLUMN($D$1)+1) + ROW($B$22:$B$29)/100000,
          ROW()-ROW($D$32)+1),
    INDEX($D$22:$H$29,,COLUMN(H$1)-COLUMN($D$1)+1) + ROW($B$22:$B$29)/100000,
    0
  )
)</f>
        <v>FINDLAY</v>
      </c>
      <c r="I33" s="120"/>
      <c r="J33" s="120"/>
      <c r="K33" s="120"/>
      <c r="L33" s="228"/>
      <c r="M33" s="228"/>
      <c r="N33" s="229">
        <f t="shared" si="32"/>
        <v>8</v>
      </c>
      <c r="O33" s="229" t="str">
        <f t="shared" si="33"/>
        <v>8TH</v>
      </c>
      <c r="P33" s="228"/>
      <c r="Q33" s="228"/>
      <c r="R33" s="228"/>
      <c r="S33" s="229">
        <f t="shared" si="34"/>
        <v>8</v>
      </c>
      <c r="T33" s="229" t="str">
        <f t="shared" si="35"/>
        <v>8TH</v>
      </c>
      <c r="U33" s="228"/>
      <c r="V33" s="228"/>
      <c r="W33" s="228"/>
      <c r="X33" s="229">
        <f t="shared" si="36"/>
        <v>8</v>
      </c>
      <c r="Y33" s="229" t="str">
        <f t="shared" si="37"/>
        <v>8TH</v>
      </c>
      <c r="Z33" s="228"/>
      <c r="AA33" s="228"/>
      <c r="AB33" s="228"/>
      <c r="AC33" s="229">
        <f t="shared" si="38"/>
        <v>8</v>
      </c>
      <c r="AD33" s="229" t="str">
        <f t="shared" si="39"/>
        <v>8TH</v>
      </c>
      <c r="AE33" s="228"/>
      <c r="AF33" s="228"/>
      <c r="AG33" s="228"/>
      <c r="AH33" s="229">
        <f t="shared" si="40"/>
        <v>8</v>
      </c>
      <c r="AI33" s="229" t="str">
        <f t="shared" si="41"/>
        <v>8TH</v>
      </c>
      <c r="AJ33" s="228"/>
      <c r="AK33" s="228"/>
      <c r="AL33" s="228"/>
      <c r="AM33" s="229">
        <f t="shared" si="42"/>
        <v>8</v>
      </c>
      <c r="AN33" s="229" t="str">
        <f t="shared" si="43"/>
        <v>8TH</v>
      </c>
      <c r="AO33" s="228"/>
      <c r="AP33" s="228"/>
    </row>
    <row r="34" spans="1:42" x14ac:dyDescent="0.2">
      <c r="A34" s="19"/>
      <c r="B34" s="120"/>
      <c r="C34" s="120" t="str">
        <f t="shared" si="44"/>
        <v>REILLY</v>
      </c>
      <c r="D34" s="120" t="str" cm="1">
        <f t="array" ref="D34">INDEX($B$22:$B$29,
  MATCH(
    LARGE(INDEX($D$22:$H$29,,COLUMN(D$1)-COLUMN($D$1)+1) + ROW($B$22:$B$29)/100000,
          ROW()-ROW($D$32)+1),
    INDEX($D$22:$H$29,,COLUMN(D$1)-COLUMN($D$1)+1) + ROW($B$22:$B$29)/100000,
    0
  )
)</f>
        <v>STONES</v>
      </c>
      <c r="E34" s="120" t="str" cm="1">
        <f t="array" ref="E34">INDEX($B$22:$B$29,
  MATCH(
    LARGE(INDEX($D$22:$H$29,,COLUMN(E$1)-COLUMN($D$1)+1) + ROW($B$22:$B$29)/100000,
          ROW()-ROW($D$32)+1),
    INDEX($D$22:$H$29,,COLUMN(E$1)-COLUMN($D$1)+1) + ROW($B$22:$B$29)/100000,
    0
  )
)</f>
        <v>HOLLANDS</v>
      </c>
      <c r="F34" s="120" t="str" cm="1">
        <f t="array" ref="F34">INDEX($B$22:$B$29,
  MATCH(
    LARGE(INDEX($D$22:$H$29,,COLUMN(F$1)-COLUMN($D$1)+1) + ROW($B$22:$B$29)/100000,
          ROW()-ROW($D$32)+1),
    INDEX($D$22:$H$29,,COLUMN(F$1)-COLUMN($D$1)+1) + ROW($B$22:$B$29)/100000,
    0
  )
)</f>
        <v>HOLLANDS</v>
      </c>
      <c r="G34" s="120" t="str" cm="1">
        <f t="array" ref="G34">INDEX($B$22:$B$29,
  MATCH(
    LARGE(INDEX($D$22:$H$29,,COLUMN(G$1)-COLUMN($D$1)+1) + ROW($B$22:$B$29)/100000,
          ROW()-ROW($D$32)+1),
    INDEX($D$22:$H$29,,COLUMN(G$1)-COLUMN($D$1)+1) + ROW($B$22:$B$29)/100000,
    0
  )
)</f>
        <v>STONES</v>
      </c>
      <c r="H34" s="20" t="str" cm="1">
        <f t="array" ref="H34">INDEX($B$22:$B$29,
  MATCH(
    LARGE(INDEX($D$22:$H$29,,COLUMN(H$1)-COLUMN($D$1)+1) + ROW($B$22:$B$29)/100000,
          ROW()-ROW($D$32)+1),
    INDEX($D$22:$H$29,,COLUMN(H$1)-COLUMN($D$1)+1) + ROW($B$22:$B$29)/100000,
    0
  )
)</f>
        <v>HOLLANDS</v>
      </c>
      <c r="I34" s="120"/>
      <c r="J34" s="120"/>
      <c r="K34" s="120"/>
    </row>
    <row r="35" spans="1:42" x14ac:dyDescent="0.2">
      <c r="A35" s="19"/>
      <c r="B35" s="120"/>
      <c r="C35" s="120" t="str">
        <f t="shared" si="44"/>
        <v>FINDLAY</v>
      </c>
      <c r="D35" s="120" t="str" cm="1">
        <f t="array" ref="D35">INDEX($B$22:$B$29,
  MATCH(
    LARGE(INDEX($D$22:$H$29,,COLUMN(D$1)-COLUMN($D$1)+1) + ROW($B$22:$B$29)/100000,
          ROW()-ROW($D$32)+1),
    INDEX($D$22:$H$29,,COLUMN(D$1)-COLUMN($D$1)+1) + ROW($B$22:$B$29)/100000,
    0
  )
)</f>
        <v>REILLY</v>
      </c>
      <c r="E35" s="120" t="str" cm="1">
        <f t="array" ref="E35">INDEX($B$22:$B$29,
  MATCH(
    LARGE(INDEX($D$22:$H$29,,COLUMN(E$1)-COLUMN($D$1)+1) + ROW($B$22:$B$29)/100000,
          ROW()-ROW($D$32)+1),
    INDEX($D$22:$H$29,,COLUMN(E$1)-COLUMN($D$1)+1) + ROW($B$22:$B$29)/100000,
    0
  )
)</f>
        <v>FINDLAY</v>
      </c>
      <c r="F35" s="120" t="str" cm="1">
        <f t="array" ref="F35">INDEX($B$22:$B$29,
  MATCH(
    LARGE(INDEX($D$22:$H$29,,COLUMN(F$1)-COLUMN($D$1)+1) + ROW($B$22:$B$29)/100000,
          ROW()-ROW($D$32)+1),
    INDEX($D$22:$H$29,,COLUMN(F$1)-COLUMN($D$1)+1) + ROW($B$22:$B$29)/100000,
    0
  )
)</f>
        <v>FINDLAY</v>
      </c>
      <c r="G35" s="120" t="str" cm="1">
        <f t="array" ref="G35">INDEX($B$22:$B$29,
  MATCH(
    LARGE(INDEX($D$22:$H$29,,COLUMN(G$1)-COLUMN($D$1)+1) + ROW($B$22:$B$29)/100000,
          ROW()-ROW($D$32)+1),
    INDEX($D$22:$H$29,,COLUMN(G$1)-COLUMN($D$1)+1) + ROW($B$22:$B$29)/100000,
    0
  )
)</f>
        <v>LAING</v>
      </c>
      <c r="H35" s="20" t="str" cm="1">
        <f t="array" ref="H35">INDEX($B$22:$B$29,
  MATCH(
    LARGE(INDEX($D$22:$H$29,,COLUMN(H$1)-COLUMN($D$1)+1) + ROW($B$22:$B$29)/100000,
          ROW()-ROW($D$32)+1),
    INDEX($D$22:$H$29,,COLUMN(H$1)-COLUMN($D$1)+1) + ROW($B$22:$B$29)/100000,
    0
  )
)</f>
        <v>REILLY</v>
      </c>
      <c r="I35" s="120"/>
      <c r="J35" s="120"/>
      <c r="K35" s="120"/>
    </row>
    <row r="36" spans="1:42" x14ac:dyDescent="0.2">
      <c r="A36" s="19"/>
      <c r="B36" s="120"/>
      <c r="C36" s="120" t="str">
        <f t="shared" si="44"/>
        <v>HOLLANDS</v>
      </c>
      <c r="D36" s="120" t="str" cm="1">
        <f t="array" ref="D36">INDEX($B$22:$B$29,
  MATCH(
    LARGE(INDEX($D$22:$H$29,,COLUMN(D$1)-COLUMN($D$1)+1) + ROW($B$22:$B$29)/100000,
          ROW()-ROW($D$32)+1),
    INDEX($D$22:$H$29,,COLUMN(D$1)-COLUMN($D$1)+1) + ROW($B$22:$B$29)/100000,
    0
  )
)</f>
        <v>DONOVAN</v>
      </c>
      <c r="E36" s="120" t="str" cm="1">
        <f t="array" ref="E36">INDEX($B$22:$B$29,
  MATCH(
    LARGE(INDEX($D$22:$H$29,,COLUMN(E$1)-COLUMN($D$1)+1) + ROW($B$22:$B$29)/100000,
          ROW()-ROW($D$32)+1),
    INDEX($D$22:$H$29,,COLUMN(E$1)-COLUMN($D$1)+1) + ROW($B$22:$B$29)/100000,
    0
  )
)</f>
        <v>LAING</v>
      </c>
      <c r="F36" s="120" t="str" cm="1">
        <f t="array" ref="F36">INDEX($B$22:$B$29,
  MATCH(
    LARGE(INDEX($D$22:$H$29,,COLUMN(F$1)-COLUMN($D$1)+1) + ROW($B$22:$B$29)/100000,
          ROW()-ROW($D$32)+1),
    INDEX($D$22:$H$29,,COLUMN(F$1)-COLUMN($D$1)+1) + ROW($B$22:$B$29)/100000,
    0
  )
)</f>
        <v>BELLIS</v>
      </c>
      <c r="G36" s="120" t="str" cm="1">
        <f t="array" ref="G36">INDEX($B$22:$B$29,
  MATCH(
    LARGE(INDEX($D$22:$H$29,,COLUMN(G$1)-COLUMN($D$1)+1) + ROW($B$22:$B$29)/100000,
          ROW()-ROW($D$32)+1),
    INDEX($D$22:$H$29,,COLUMN(G$1)-COLUMN($D$1)+1) + ROW($B$22:$B$29)/100000,
    0
  )
)</f>
        <v>REILLY</v>
      </c>
      <c r="H36" s="20" t="str" cm="1">
        <f t="array" ref="H36">INDEX($B$22:$B$29,
  MATCH(
    LARGE(INDEX($D$22:$H$29,,COLUMN(H$1)-COLUMN($D$1)+1) + ROW($B$22:$B$29)/100000,
          ROW()-ROW($D$32)+1),
    INDEX($D$22:$H$29,,COLUMN(H$1)-COLUMN($D$1)+1) + ROW($B$22:$B$29)/100000,
    0
  )
)</f>
        <v>LAING</v>
      </c>
      <c r="I36" s="120"/>
      <c r="J36" s="120"/>
      <c r="K36" s="120"/>
    </row>
    <row r="37" spans="1:42" x14ac:dyDescent="0.2">
      <c r="A37" s="19"/>
      <c r="B37" s="120"/>
      <c r="C37" s="120" t="str">
        <f t="shared" si="44"/>
        <v>DEY</v>
      </c>
      <c r="D37" s="120" t="str" cm="1">
        <f t="array" ref="D37">INDEX($B$22:$B$29,
  MATCH(
    LARGE(INDEX($D$22:$H$29,,COLUMN(D$1)-COLUMN($D$1)+1) + ROW($B$22:$B$29)/100000,
          ROW()-ROW($D$32)+1),
    INDEX($D$22:$H$29,,COLUMN(D$1)-COLUMN($D$1)+1) + ROW($B$22:$B$29)/100000,
    0
  )
)</f>
        <v>BELLIS</v>
      </c>
      <c r="E37" s="120" t="str" cm="1">
        <f t="array" ref="E37">INDEX($B$22:$B$29,
  MATCH(
    LARGE(INDEX($D$22:$H$29,,COLUMN(E$1)-COLUMN($D$1)+1) + ROW($B$22:$B$29)/100000,
          ROW()-ROW($D$32)+1),
    INDEX($D$22:$H$29,,COLUMN(E$1)-COLUMN($D$1)+1) + ROW($B$22:$B$29)/100000,
    0
  )
)</f>
        <v>DONOVAN</v>
      </c>
      <c r="F37" s="120" t="str" cm="1">
        <f t="array" ref="F37">INDEX($B$22:$B$29,
  MATCH(
    LARGE(INDEX($D$22:$H$29,,COLUMN(F$1)-COLUMN($D$1)+1) + ROW($B$22:$B$29)/100000,
          ROW()-ROW($D$32)+1),
    INDEX($D$22:$H$29,,COLUMN(F$1)-COLUMN($D$1)+1) + ROW($B$22:$B$29)/100000,
    0
  )
)</f>
        <v>LAING</v>
      </c>
      <c r="G37" s="120" t="str" cm="1">
        <f t="array" ref="G37">INDEX($B$22:$B$29,
  MATCH(
    LARGE(INDEX($D$22:$H$29,,COLUMN(G$1)-COLUMN($D$1)+1) + ROW($B$22:$B$29)/100000,
          ROW()-ROW($D$32)+1),
    INDEX($D$22:$H$29,,COLUMN(G$1)-COLUMN($D$1)+1) + ROW($B$22:$B$29)/100000,
    0
  )
)</f>
        <v>DEY</v>
      </c>
      <c r="H37" s="20" t="str" cm="1">
        <f t="array" ref="H37">INDEX($B$22:$B$29,
  MATCH(
    LARGE(INDEX($D$22:$H$29,,COLUMN(H$1)-COLUMN($D$1)+1) + ROW($B$22:$B$29)/100000,
          ROW()-ROW($D$32)+1),
    INDEX($D$22:$H$29,,COLUMN(H$1)-COLUMN($D$1)+1) + ROW($B$22:$B$29)/100000,
    0
  )
)</f>
        <v>DONOVAN</v>
      </c>
      <c r="I37" s="120"/>
      <c r="J37" s="120"/>
      <c r="K37" s="120"/>
      <c r="Q37" s="2" t="s">
        <v>88</v>
      </c>
      <c r="R37" s="3"/>
      <c r="S37" s="3"/>
      <c r="T37" s="3"/>
      <c r="U37" s="3"/>
      <c r="V37" s="4"/>
      <c r="AB37" t="str">
        <f t="shared" ref="AB37:AH37" si="45">C12</f>
        <v>R1</v>
      </c>
      <c r="AC37" t="str">
        <f t="shared" si="45"/>
        <v>R2</v>
      </c>
      <c r="AD37" t="str">
        <f t="shared" si="45"/>
        <v>R3</v>
      </c>
      <c r="AE37" t="str">
        <f t="shared" si="45"/>
        <v>R4</v>
      </c>
      <c r="AF37" t="str">
        <f t="shared" si="45"/>
        <v>R5</v>
      </c>
      <c r="AG37" t="str">
        <f t="shared" si="45"/>
        <v>R6</v>
      </c>
      <c r="AH37" t="str">
        <f t="shared" si="45"/>
        <v>total</v>
      </c>
    </row>
    <row r="38" spans="1:42" x14ac:dyDescent="0.2">
      <c r="A38" s="19"/>
      <c r="B38" s="120"/>
      <c r="C38" s="120" t="str">
        <f t="shared" si="44"/>
        <v>DONOVAN</v>
      </c>
      <c r="D38" s="120" t="str" cm="1">
        <f t="array" ref="D38">INDEX($B$22:$B$29,
  MATCH(
    LARGE(INDEX($D$22:$H$29,,COLUMN(D$1)-COLUMN($D$1)+1) + ROW($B$22:$B$29)/100000,
          ROW()-ROW($D$32)+1),
    INDEX($D$22:$H$29,,COLUMN(D$1)-COLUMN($D$1)+1) + ROW($B$22:$B$29)/100000,
    0
  )
)</f>
        <v>LAING</v>
      </c>
      <c r="E38" s="120" t="str" cm="1">
        <f t="array" ref="E38">INDEX($B$22:$B$29,
  MATCH(
    LARGE(INDEX($D$22:$H$29,,COLUMN(E$1)-COLUMN($D$1)+1) + ROW($B$22:$B$29)/100000,
          ROW()-ROW($D$32)+1),
    INDEX($D$22:$H$29,,COLUMN(E$1)-COLUMN($D$1)+1) + ROW($B$22:$B$29)/100000,
    0
  )
)</f>
        <v>BELLIS</v>
      </c>
      <c r="F38" s="120" t="str" cm="1">
        <f t="array" ref="F38">INDEX($B$22:$B$29,
  MATCH(
    LARGE(INDEX($D$22:$H$29,,COLUMN(F$1)-COLUMN($D$1)+1) + ROW($B$22:$B$29)/100000,
          ROW()-ROW($D$32)+1),
    INDEX($D$22:$H$29,,COLUMN(F$1)-COLUMN($D$1)+1) + ROW($B$22:$B$29)/100000,
    0
  )
)</f>
        <v>DONOVAN</v>
      </c>
      <c r="G38" s="120" t="str" cm="1">
        <f t="array" ref="G38">INDEX($B$22:$B$29,
  MATCH(
    LARGE(INDEX($D$22:$H$29,,COLUMN(G$1)-COLUMN($D$1)+1) + ROW($B$22:$B$29)/100000,
          ROW()-ROW($D$32)+1),
    INDEX($D$22:$H$29,,COLUMN(G$1)-COLUMN($D$1)+1) + ROW($B$22:$B$29)/100000,
    0
  )
)</f>
        <v>DONOVAN</v>
      </c>
      <c r="H38" s="20" t="str" cm="1">
        <f t="array" ref="H38">INDEX($B$22:$B$29,
  MATCH(
    LARGE(INDEX($D$22:$H$29,,COLUMN(H$1)-COLUMN($D$1)+1) + ROW($B$22:$B$29)/100000,
          ROW()-ROW($D$32)+1),
    INDEX($D$22:$H$29,,COLUMN(H$1)-COLUMN($D$1)+1) + ROW($B$22:$B$29)/100000,
    0
  )
)</f>
        <v>DEY</v>
      </c>
      <c r="I38" s="120"/>
      <c r="J38" s="120"/>
      <c r="K38" s="120"/>
      <c r="Q38" s="159"/>
      <c r="T38" t="s">
        <v>67</v>
      </c>
      <c r="U38" t="s">
        <v>87</v>
      </c>
      <c r="V38" s="9" t="s">
        <v>103</v>
      </c>
      <c r="AA38" t="str">
        <f t="shared" ref="AA38:AA45" si="46">B13</f>
        <v>STONES</v>
      </c>
      <c r="AB38">
        <f t="shared" ref="AB38:AB45" si="47">C13</f>
        <v>24</v>
      </c>
      <c r="AC38">
        <f t="shared" ref="AC38:AC45" si="48">D13</f>
        <v>7.5</v>
      </c>
      <c r="AD38">
        <f t="shared" ref="AD38:AD45" si="49">E13</f>
        <v>24</v>
      </c>
      <c r="AE38">
        <f t="shared" ref="AE38:AE45" si="50">F13</f>
        <v>10.5</v>
      </c>
      <c r="AF38">
        <f t="shared" ref="AF38:AF45" si="51">G13</f>
        <v>6</v>
      </c>
      <c r="AG38">
        <f t="shared" ref="AG38:AG45" si="52">H13</f>
        <v>24</v>
      </c>
      <c r="AH38">
        <f t="shared" ref="AH38:AH45" si="53">I13</f>
        <v>96</v>
      </c>
    </row>
    <row r="39" spans="1:42" x14ac:dyDescent="0.2">
      <c r="A39" s="22"/>
      <c r="B39" s="217"/>
      <c r="C39" s="217" t="str">
        <f t="shared" si="44"/>
        <v>LAING</v>
      </c>
      <c r="D39" s="217" t="str" cm="1">
        <f t="array" ref="D39">INDEX($B$22:$B$29,
  MATCH(
    LARGE(INDEX($D$22:$H$29,,COLUMN(D$1)-COLUMN($D$1)+1) + ROW($B$22:$B$29)/100000,
          ROW()-ROW($D$32)+1),
    INDEX($D$22:$H$29,,COLUMN(D$1)-COLUMN($D$1)+1) + ROW($B$22:$B$29)/100000,
    0
  )
)</f>
        <v>DEY</v>
      </c>
      <c r="E39" s="217" t="str" cm="1">
        <f t="array" ref="E39">INDEX($B$22:$B$29,
  MATCH(
    LARGE(INDEX($D$22:$H$29,,COLUMN(E$1)-COLUMN($D$1)+1) + ROW($B$22:$B$29)/100000,
          ROW()-ROW($D$32)+1),
    INDEX($D$22:$H$29,,COLUMN(E$1)-COLUMN($D$1)+1) + ROW($B$22:$B$29)/100000,
    0
  )
)</f>
        <v>DEY</v>
      </c>
      <c r="F39" s="217" t="str" cm="1">
        <f t="array" ref="F39">INDEX($B$22:$B$29,
  MATCH(
    LARGE(INDEX($D$22:$H$29,,COLUMN(F$1)-COLUMN($D$1)+1) + ROW($B$22:$B$29)/100000,
          ROW()-ROW($D$32)+1),
    INDEX($D$22:$H$29,,COLUMN(F$1)-COLUMN($D$1)+1) + ROW($B$22:$B$29)/100000,
    0
  )
)</f>
        <v>DEY</v>
      </c>
      <c r="G39" s="217" t="str" cm="1">
        <f t="array" ref="G39">INDEX($B$22:$B$29,
  MATCH(
    LARGE(INDEX($D$22:$H$29,,COLUMN(G$1)-COLUMN($D$1)+1) + ROW($B$22:$B$29)/100000,
          ROW()-ROW($D$32)+1),
    INDEX($D$22:$H$29,,COLUMN(G$1)-COLUMN($D$1)+1) + ROW($B$22:$B$29)/100000,
    0
  )
)</f>
        <v>BELLIS</v>
      </c>
      <c r="H39" s="218" t="str" cm="1">
        <f t="array" ref="H39">INDEX($B$22:$B$29,
  MATCH(
    LARGE(INDEX($D$22:$H$29,,COLUMN(H$1)-COLUMN($D$1)+1) + ROW($B$22:$B$29)/100000,
          ROW()-ROW($D$32)+1),
    INDEX($D$22:$H$29,,COLUMN(H$1)-COLUMN($D$1)+1) + ROW($B$22:$B$29)/100000,
    0
  )
)</f>
        <v>BELLIS</v>
      </c>
      <c r="I39" s="120"/>
      <c r="J39" s="120"/>
      <c r="K39" s="120"/>
      <c r="Q39" s="159" t="str">
        <f t="shared" ref="Q39:Q46" si="54">R15</f>
        <v>1ST</v>
      </c>
      <c r="R39" t="str">
        <f t="shared" ref="R39:R46" si="55">U15</f>
        <v>⬆</v>
      </c>
      <c r="S39" t="str">
        <f t="shared" ref="S39:S46" si="56">S15</f>
        <v>FINDLAY</v>
      </c>
      <c r="T39">
        <f>INDEX($AA$38:$AG$45,MATCH(S39,$AA$38:$AA$45,0),2)</f>
        <v>15</v>
      </c>
      <c r="U39">
        <f>INDEX($AA$38:$AG$45,MATCH(S39,$AA$38:$AA$45,0),3)</f>
        <v>22.5</v>
      </c>
      <c r="V39" s="9">
        <f t="shared" ref="V39:V46" si="57">T15</f>
        <v>37.5</v>
      </c>
      <c r="AA39" t="str">
        <f t="shared" si="46"/>
        <v>BELLIS</v>
      </c>
      <c r="AB39">
        <f t="shared" si="47"/>
        <v>21</v>
      </c>
      <c r="AC39">
        <f t="shared" si="48"/>
        <v>3</v>
      </c>
      <c r="AD39">
        <f t="shared" si="49"/>
        <v>3</v>
      </c>
      <c r="AE39">
        <f t="shared" si="50"/>
        <v>24</v>
      </c>
      <c r="AF39">
        <f t="shared" si="51"/>
        <v>3</v>
      </c>
      <c r="AG39">
        <f t="shared" si="52"/>
        <v>3</v>
      </c>
      <c r="AH39">
        <f t="shared" si="53"/>
        <v>57</v>
      </c>
    </row>
    <row r="40" spans="1:42" x14ac:dyDescent="0.2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Q40" s="159" t="str">
        <f t="shared" si="54"/>
        <v>2ND</v>
      </c>
      <c r="R40" t="str">
        <f t="shared" si="55"/>
        <v>⬆</v>
      </c>
      <c r="S40" t="str">
        <f t="shared" si="56"/>
        <v>HOLLANDS</v>
      </c>
      <c r="T40">
        <f t="shared" ref="T40:T46" si="58">INDEX($AA$38:$AG$45,MATCH(S40,$AA$38:$AA$45,0),2)</f>
        <v>12</v>
      </c>
      <c r="U40">
        <f t="shared" ref="U40:U46" si="59">INDEX($AA$38:$AG$45,MATCH(S40,$AA$38:$AA$45,0),3)</f>
        <v>22.5</v>
      </c>
      <c r="V40" s="9">
        <f t="shared" si="57"/>
        <v>34.5</v>
      </c>
      <c r="AA40" t="str">
        <f t="shared" si="46"/>
        <v>REILLY</v>
      </c>
      <c r="AB40">
        <f t="shared" si="47"/>
        <v>18</v>
      </c>
      <c r="AC40">
        <f t="shared" si="48"/>
        <v>12</v>
      </c>
      <c r="AD40">
        <f t="shared" si="49"/>
        <v>21</v>
      </c>
      <c r="AE40">
        <f t="shared" si="50"/>
        <v>10.5</v>
      </c>
      <c r="AF40">
        <f t="shared" si="51"/>
        <v>9</v>
      </c>
      <c r="AG40">
        <f t="shared" si="52"/>
        <v>21</v>
      </c>
      <c r="AH40">
        <f t="shared" si="53"/>
        <v>91.5</v>
      </c>
    </row>
    <row r="41" spans="1:42" x14ac:dyDescent="0.2">
      <c r="A41" s="17"/>
      <c r="B41" s="216"/>
      <c r="C41" s="216">
        <f>C13</f>
        <v>24</v>
      </c>
      <c r="D41" s="216">
        <f>INDEX($D$22:$H$29, MATCH(D32, $B$22:$B$29, 0), MATCH(D$30, $D$30:$H$30, 0))</f>
        <v>37.5</v>
      </c>
      <c r="E41" s="216">
        <f>INDEX($D$22:$H$29, MATCH(E32, $B$22:$B$29, 0), MATCH(E$30, $D$30:$H$30, 0))</f>
        <v>55.5</v>
      </c>
      <c r="F41" s="216">
        <f t="shared" ref="F41:H41" si="60">INDEX($D$22:$H$29, MATCH(F32, $B$22:$B$29, 0), MATCH(F$30, $D$30:$H$30, 0))</f>
        <v>66</v>
      </c>
      <c r="G41" s="216">
        <f t="shared" si="60"/>
        <v>81</v>
      </c>
      <c r="H41" s="18">
        <f t="shared" si="60"/>
        <v>96</v>
      </c>
      <c r="I41" s="338" t="s">
        <v>65</v>
      </c>
      <c r="J41" s="339"/>
      <c r="K41" s="120"/>
      <c r="Q41" s="159" t="str">
        <f t="shared" si="54"/>
        <v>3RD</v>
      </c>
      <c r="R41" t="str">
        <f t="shared" si="55"/>
        <v>⬇</v>
      </c>
      <c r="S41" t="str">
        <f t="shared" si="56"/>
        <v>STONES</v>
      </c>
      <c r="T41">
        <f t="shared" si="58"/>
        <v>24</v>
      </c>
      <c r="U41">
        <f t="shared" si="59"/>
        <v>7.5</v>
      </c>
      <c r="V41" s="9">
        <f t="shared" si="57"/>
        <v>31.5</v>
      </c>
      <c r="AA41" t="str">
        <f t="shared" si="46"/>
        <v>FINDLAY</v>
      </c>
      <c r="AB41">
        <f t="shared" si="47"/>
        <v>15</v>
      </c>
      <c r="AC41">
        <f t="shared" si="48"/>
        <v>22.5</v>
      </c>
      <c r="AD41">
        <f t="shared" si="49"/>
        <v>12</v>
      </c>
      <c r="AE41">
        <f t="shared" si="50"/>
        <v>10.5</v>
      </c>
      <c r="AF41">
        <f t="shared" si="51"/>
        <v>21</v>
      </c>
      <c r="AG41">
        <f t="shared" si="52"/>
        <v>12</v>
      </c>
      <c r="AH41">
        <f t="shared" si="53"/>
        <v>93</v>
      </c>
    </row>
    <row r="42" spans="1:42" x14ac:dyDescent="0.2">
      <c r="A42" s="19"/>
      <c r="B42" s="120"/>
      <c r="C42" s="120">
        <f t="shared" ref="C42:C48" si="61">C14</f>
        <v>21</v>
      </c>
      <c r="D42" s="120">
        <f t="shared" ref="D42:H48" si="62">INDEX($D$22:$H$29, MATCH(D33, $B$22:$B$29, 0), MATCH(D$30, $D$30:$H$30, 0))</f>
        <v>34.5</v>
      </c>
      <c r="E42" s="120">
        <f t="shared" si="62"/>
        <v>51</v>
      </c>
      <c r="F42" s="120">
        <f t="shared" si="62"/>
        <v>61.5</v>
      </c>
      <c r="G42" s="120">
        <f t="shared" si="62"/>
        <v>76.5</v>
      </c>
      <c r="H42" s="20">
        <f t="shared" si="62"/>
        <v>93</v>
      </c>
      <c r="I42" s="120"/>
      <c r="J42" s="120"/>
      <c r="K42" s="120"/>
      <c r="Q42" s="159" t="str">
        <f t="shared" si="54"/>
        <v>4TH</v>
      </c>
      <c r="R42" t="str">
        <f t="shared" si="55"/>
        <v>⬇</v>
      </c>
      <c r="S42" t="str">
        <f t="shared" si="56"/>
        <v>REILLY</v>
      </c>
      <c r="T42">
        <f t="shared" si="58"/>
        <v>18</v>
      </c>
      <c r="U42">
        <f t="shared" si="59"/>
        <v>12</v>
      </c>
      <c r="V42" s="9">
        <f t="shared" si="57"/>
        <v>30</v>
      </c>
      <c r="AA42" t="str">
        <f t="shared" si="46"/>
        <v>HOLLANDS</v>
      </c>
      <c r="AB42">
        <f t="shared" si="47"/>
        <v>12</v>
      </c>
      <c r="AC42">
        <f t="shared" si="48"/>
        <v>22.5</v>
      </c>
      <c r="AD42">
        <f t="shared" si="49"/>
        <v>15</v>
      </c>
      <c r="AE42">
        <f t="shared" si="50"/>
        <v>10.5</v>
      </c>
      <c r="AF42">
        <f t="shared" si="51"/>
        <v>16.5</v>
      </c>
      <c r="AG42">
        <f t="shared" si="52"/>
        <v>15</v>
      </c>
      <c r="AH42">
        <f t="shared" si="53"/>
        <v>91.5</v>
      </c>
    </row>
    <row r="43" spans="1:42" x14ac:dyDescent="0.2">
      <c r="A43" s="19"/>
      <c r="B43" s="120"/>
      <c r="C43" s="120">
        <f t="shared" si="61"/>
        <v>18</v>
      </c>
      <c r="D43" s="120">
        <f t="shared" si="62"/>
        <v>31.5</v>
      </c>
      <c r="E43" s="120">
        <f t="shared" si="62"/>
        <v>49.5</v>
      </c>
      <c r="F43" s="120">
        <f t="shared" si="62"/>
        <v>60</v>
      </c>
      <c r="G43" s="120">
        <f t="shared" si="62"/>
        <v>72</v>
      </c>
      <c r="H43" s="20">
        <f t="shared" si="62"/>
        <v>91.5</v>
      </c>
      <c r="I43" s="120"/>
      <c r="J43" s="120"/>
      <c r="K43" s="120"/>
      <c r="Q43" s="159" t="str">
        <f t="shared" si="54"/>
        <v>5TH</v>
      </c>
      <c r="R43" t="str">
        <f t="shared" si="55"/>
        <v>⬆</v>
      </c>
      <c r="S43" t="str">
        <f t="shared" si="56"/>
        <v>DONOVAN</v>
      </c>
      <c r="T43">
        <f t="shared" si="58"/>
        <v>7.5</v>
      </c>
      <c r="U43">
        <f t="shared" si="59"/>
        <v>18</v>
      </c>
      <c r="V43" s="9">
        <f t="shared" si="57"/>
        <v>25.5</v>
      </c>
      <c r="AA43" t="str">
        <f t="shared" si="46"/>
        <v>DEY</v>
      </c>
      <c r="AB43">
        <f t="shared" si="47"/>
        <v>7.5</v>
      </c>
      <c r="AC43">
        <f t="shared" si="48"/>
        <v>7.5</v>
      </c>
      <c r="AD43">
        <f t="shared" si="49"/>
        <v>6</v>
      </c>
      <c r="AE43">
        <f t="shared" si="50"/>
        <v>21</v>
      </c>
      <c r="AF43">
        <f t="shared" si="51"/>
        <v>16.5</v>
      </c>
      <c r="AG43">
        <f t="shared" si="52"/>
        <v>6</v>
      </c>
      <c r="AH43">
        <f t="shared" si="53"/>
        <v>64.5</v>
      </c>
    </row>
    <row r="44" spans="1:42" x14ac:dyDescent="0.2">
      <c r="A44" s="19"/>
      <c r="B44" s="120"/>
      <c r="C44" s="120">
        <f t="shared" si="61"/>
        <v>15</v>
      </c>
      <c r="D44" s="120">
        <f t="shared" si="62"/>
        <v>30</v>
      </c>
      <c r="E44" s="120">
        <f t="shared" si="62"/>
        <v>49.5</v>
      </c>
      <c r="F44" s="120">
        <f t="shared" si="62"/>
        <v>60</v>
      </c>
      <c r="G44" s="120">
        <f t="shared" si="62"/>
        <v>70.5</v>
      </c>
      <c r="H44" s="20">
        <f t="shared" si="62"/>
        <v>91.5</v>
      </c>
      <c r="I44" s="120"/>
      <c r="J44" s="120"/>
      <c r="K44" s="120"/>
      <c r="Q44" s="159" t="str">
        <f t="shared" si="54"/>
        <v>6TH</v>
      </c>
      <c r="R44" t="str">
        <f t="shared" si="55"/>
        <v>⬇</v>
      </c>
      <c r="S44" t="str">
        <f t="shared" si="56"/>
        <v>BELLIS</v>
      </c>
      <c r="T44">
        <f t="shared" si="58"/>
        <v>21</v>
      </c>
      <c r="U44">
        <f t="shared" si="59"/>
        <v>3</v>
      </c>
      <c r="V44" s="9">
        <f t="shared" si="57"/>
        <v>24</v>
      </c>
      <c r="AA44" t="str">
        <f t="shared" si="46"/>
        <v>DONOVAN</v>
      </c>
      <c r="AB44">
        <f t="shared" si="47"/>
        <v>7.5</v>
      </c>
      <c r="AC44">
        <f t="shared" si="48"/>
        <v>18</v>
      </c>
      <c r="AD44">
        <f t="shared" si="49"/>
        <v>9</v>
      </c>
      <c r="AE44">
        <f t="shared" si="50"/>
        <v>10.5</v>
      </c>
      <c r="AF44">
        <f t="shared" si="51"/>
        <v>12</v>
      </c>
      <c r="AG44">
        <f t="shared" si="52"/>
        <v>9</v>
      </c>
      <c r="AH44">
        <f t="shared" si="53"/>
        <v>66</v>
      </c>
    </row>
    <row r="45" spans="1:42" x14ac:dyDescent="0.2">
      <c r="A45" s="19"/>
      <c r="B45" s="120"/>
      <c r="C45" s="120">
        <f t="shared" si="61"/>
        <v>12</v>
      </c>
      <c r="D45" s="120">
        <f t="shared" si="62"/>
        <v>25.5</v>
      </c>
      <c r="E45" s="120">
        <f t="shared" si="62"/>
        <v>36</v>
      </c>
      <c r="F45" s="120">
        <f t="shared" si="62"/>
        <v>51</v>
      </c>
      <c r="G45" s="120">
        <f t="shared" si="62"/>
        <v>70.5</v>
      </c>
      <c r="H45" s="20">
        <f t="shared" si="62"/>
        <v>88.5</v>
      </c>
      <c r="I45" s="120"/>
      <c r="J45" s="120"/>
      <c r="K45" s="120"/>
      <c r="Q45" s="159" t="str">
        <f t="shared" si="54"/>
        <v>7TH</v>
      </c>
      <c r="R45" t="str">
        <f t="shared" si="55"/>
        <v>⬆</v>
      </c>
      <c r="S45" t="str">
        <f t="shared" si="56"/>
        <v>LAING</v>
      </c>
      <c r="T45">
        <f t="shared" si="58"/>
        <v>3</v>
      </c>
      <c r="U45">
        <f t="shared" si="59"/>
        <v>15</v>
      </c>
      <c r="V45" s="9">
        <f t="shared" si="57"/>
        <v>18</v>
      </c>
      <c r="AA45" t="str">
        <f t="shared" si="46"/>
        <v>LAING</v>
      </c>
      <c r="AB45">
        <f t="shared" si="47"/>
        <v>3</v>
      </c>
      <c r="AC45">
        <f t="shared" si="48"/>
        <v>15</v>
      </c>
      <c r="AD45">
        <f t="shared" si="49"/>
        <v>18</v>
      </c>
      <c r="AE45">
        <f t="shared" si="50"/>
        <v>10.5</v>
      </c>
      <c r="AF45">
        <f t="shared" si="51"/>
        <v>24</v>
      </c>
      <c r="AG45">
        <f t="shared" si="52"/>
        <v>18</v>
      </c>
      <c r="AH45">
        <f t="shared" si="53"/>
        <v>88.5</v>
      </c>
    </row>
    <row r="46" spans="1:42" x14ac:dyDescent="0.2">
      <c r="A46" s="19"/>
      <c r="B46" s="120"/>
      <c r="C46" s="120">
        <f t="shared" si="61"/>
        <v>7.5</v>
      </c>
      <c r="D46" s="120">
        <f t="shared" si="62"/>
        <v>24</v>
      </c>
      <c r="E46" s="120">
        <f t="shared" si="62"/>
        <v>34.5</v>
      </c>
      <c r="F46" s="120">
        <f t="shared" si="62"/>
        <v>46.5</v>
      </c>
      <c r="G46" s="120">
        <f t="shared" si="62"/>
        <v>58.5</v>
      </c>
      <c r="H46" s="20">
        <f t="shared" si="62"/>
        <v>66</v>
      </c>
      <c r="I46" s="120"/>
      <c r="J46" s="120"/>
      <c r="K46" s="120"/>
      <c r="Q46" s="160" t="str">
        <f t="shared" si="54"/>
        <v>8TH</v>
      </c>
      <c r="R46" s="161" t="str">
        <f t="shared" si="55"/>
        <v>⬇</v>
      </c>
      <c r="S46" s="161" t="str">
        <f t="shared" si="56"/>
        <v>DEY</v>
      </c>
      <c r="T46" s="161">
        <f t="shared" si="58"/>
        <v>7.5</v>
      </c>
      <c r="U46" s="161">
        <f t="shared" si="59"/>
        <v>7.5</v>
      </c>
      <c r="V46" s="10">
        <f t="shared" si="57"/>
        <v>15</v>
      </c>
    </row>
    <row r="47" spans="1:42" x14ac:dyDescent="0.2">
      <c r="A47" s="19"/>
      <c r="B47" s="120"/>
      <c r="C47" s="120">
        <f t="shared" si="61"/>
        <v>7.5</v>
      </c>
      <c r="D47" s="120">
        <f t="shared" si="62"/>
        <v>18</v>
      </c>
      <c r="E47" s="120">
        <f t="shared" si="62"/>
        <v>27</v>
      </c>
      <c r="F47" s="120">
        <f t="shared" si="62"/>
        <v>45</v>
      </c>
      <c r="G47" s="120">
        <f t="shared" si="62"/>
        <v>57</v>
      </c>
      <c r="H47" s="20">
        <f t="shared" si="62"/>
        <v>64.5</v>
      </c>
      <c r="I47" s="120"/>
      <c r="J47" s="120"/>
      <c r="K47" s="120"/>
    </row>
    <row r="48" spans="1:42" x14ac:dyDescent="0.2">
      <c r="A48" s="22"/>
      <c r="B48" s="217"/>
      <c r="C48" s="217">
        <f t="shared" si="61"/>
        <v>3</v>
      </c>
      <c r="D48" s="217">
        <f t="shared" si="62"/>
        <v>15</v>
      </c>
      <c r="E48" s="217">
        <f t="shared" si="62"/>
        <v>21</v>
      </c>
      <c r="F48" s="217">
        <f t="shared" si="62"/>
        <v>42</v>
      </c>
      <c r="G48" s="217">
        <f t="shared" si="62"/>
        <v>54</v>
      </c>
      <c r="H48" s="218">
        <f t="shared" si="62"/>
        <v>57</v>
      </c>
      <c r="I48" s="120"/>
      <c r="J48" s="120"/>
      <c r="K48" s="120"/>
      <c r="Q48" s="2" t="s">
        <v>89</v>
      </c>
      <c r="R48" s="3"/>
      <c r="S48" s="3"/>
      <c r="T48" s="3"/>
      <c r="U48" s="3"/>
      <c r="V48" s="3"/>
      <c r="W48" s="4"/>
    </row>
    <row r="49" spans="1:24" x14ac:dyDescent="0.2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Q49" s="159"/>
      <c r="T49" t="s">
        <v>67</v>
      </c>
      <c r="U49" t="s">
        <v>87</v>
      </c>
      <c r="V49" t="s">
        <v>68</v>
      </c>
      <c r="W49" s="9" t="s">
        <v>104</v>
      </c>
    </row>
    <row r="50" spans="1:24" x14ac:dyDescent="0.2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Q50" s="159" t="str">
        <f t="shared" ref="Q50:Q57" si="63">W15</f>
        <v>1ST</v>
      </c>
      <c r="R50" t="str">
        <f t="shared" ref="R50:R57" si="64">Z15</f>
        <v>⬆</v>
      </c>
      <c r="S50" t="str">
        <f t="shared" ref="S50:S57" si="65">X15</f>
        <v>STONES</v>
      </c>
      <c r="T50">
        <f>INDEX($AA$38:$AG$45,MATCH(S50,$AA$38:$AA$45,0),2)</f>
        <v>24</v>
      </c>
      <c r="U50">
        <f>INDEX($AA$38:$AG$45,MATCH(S50,$AA$38:$AA$45,0),3)</f>
        <v>7.5</v>
      </c>
      <c r="V50">
        <f>INDEX($AA$38:$AG$45,MATCH(S50,$AA$38:$AA$45,0),4)</f>
        <v>24</v>
      </c>
      <c r="W50" s="9">
        <f t="shared" ref="W50:W57" si="66">Y15</f>
        <v>55.5</v>
      </c>
    </row>
    <row r="51" spans="1:24" x14ac:dyDescent="0.2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Q51" s="159" t="str">
        <f t="shared" si="63"/>
        <v>2ND</v>
      </c>
      <c r="R51" t="str">
        <f t="shared" si="64"/>
        <v>⬆</v>
      </c>
      <c r="S51" t="str">
        <f t="shared" si="65"/>
        <v>REILLY</v>
      </c>
      <c r="T51">
        <f t="shared" ref="T51:T57" si="67">INDEX($AA$38:$AG$45,MATCH(S51,$AA$38:$AA$45,0),2)</f>
        <v>18</v>
      </c>
      <c r="U51">
        <f t="shared" ref="U51:U57" si="68">INDEX($AA$38:$AG$45,MATCH(S51,$AA$38:$AA$45,0),3)</f>
        <v>12</v>
      </c>
      <c r="V51">
        <f t="shared" ref="V51:V57" si="69">INDEX($AA$38:$AG$45,MATCH(S51,$AA$38:$AA$45,0),4)</f>
        <v>21</v>
      </c>
      <c r="W51" s="9">
        <f t="shared" si="66"/>
        <v>51</v>
      </c>
    </row>
    <row r="52" spans="1:24" x14ac:dyDescent="0.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Q52" s="159" t="str">
        <f t="shared" si="63"/>
        <v>=3RD</v>
      </c>
      <c r="R52" t="str">
        <f t="shared" si="64"/>
        <v>⬇</v>
      </c>
      <c r="S52" t="str">
        <f t="shared" si="65"/>
        <v>HOLLANDS</v>
      </c>
      <c r="T52">
        <f t="shared" si="67"/>
        <v>12</v>
      </c>
      <c r="U52">
        <f>INDEX($AA$38:$AG$45,MATCH(S52,$AA$38:$AA$45,0),3)</f>
        <v>22.5</v>
      </c>
      <c r="V52">
        <f t="shared" si="69"/>
        <v>15</v>
      </c>
      <c r="W52" s="9">
        <f t="shared" si="66"/>
        <v>49.5</v>
      </c>
    </row>
    <row r="53" spans="1:24" x14ac:dyDescent="0.2">
      <c r="Q53" s="159" t="str">
        <f t="shared" si="63"/>
        <v>=3RD</v>
      </c>
      <c r="R53" t="str">
        <f t="shared" si="64"/>
        <v>⬇</v>
      </c>
      <c r="S53" t="str">
        <f t="shared" si="65"/>
        <v>FINDLAY</v>
      </c>
      <c r="T53">
        <f t="shared" si="67"/>
        <v>15</v>
      </c>
      <c r="U53">
        <f t="shared" si="68"/>
        <v>22.5</v>
      </c>
      <c r="V53">
        <f t="shared" si="69"/>
        <v>12</v>
      </c>
      <c r="W53" s="9">
        <f t="shared" si="66"/>
        <v>49.5</v>
      </c>
    </row>
    <row r="54" spans="1:24" x14ac:dyDescent="0.2">
      <c r="Q54" s="159" t="str">
        <f t="shared" si="63"/>
        <v>5TH</v>
      </c>
      <c r="R54" t="str">
        <f t="shared" si="64"/>
        <v>⬆</v>
      </c>
      <c r="S54" t="str">
        <f t="shared" si="65"/>
        <v>LAING</v>
      </c>
      <c r="T54">
        <f t="shared" si="67"/>
        <v>3</v>
      </c>
      <c r="U54">
        <f t="shared" si="68"/>
        <v>15</v>
      </c>
      <c r="V54">
        <f t="shared" si="69"/>
        <v>18</v>
      </c>
      <c r="W54" s="9">
        <f t="shared" si="66"/>
        <v>36</v>
      </c>
    </row>
    <row r="55" spans="1:24" x14ac:dyDescent="0.2">
      <c r="Q55" s="159" t="str">
        <f t="shared" si="63"/>
        <v>6TH</v>
      </c>
      <c r="R55" t="str">
        <f t="shared" si="64"/>
        <v>⬇</v>
      </c>
      <c r="S55" t="str">
        <f t="shared" si="65"/>
        <v>DONOVAN</v>
      </c>
      <c r="T55">
        <f t="shared" si="67"/>
        <v>7.5</v>
      </c>
      <c r="U55">
        <f t="shared" si="68"/>
        <v>18</v>
      </c>
      <c r="V55">
        <f t="shared" si="69"/>
        <v>9</v>
      </c>
      <c r="W55" s="9">
        <f t="shared" si="66"/>
        <v>34.5</v>
      </c>
    </row>
    <row r="56" spans="1:24" x14ac:dyDescent="0.2">
      <c r="Q56" s="159" t="str">
        <f t="shared" si="63"/>
        <v>7TH</v>
      </c>
      <c r="R56" t="str">
        <f t="shared" si="64"/>
        <v>⬇</v>
      </c>
      <c r="S56" t="str">
        <f t="shared" si="65"/>
        <v>BELLIS</v>
      </c>
      <c r="T56">
        <f t="shared" si="67"/>
        <v>21</v>
      </c>
      <c r="U56">
        <f t="shared" si="68"/>
        <v>3</v>
      </c>
      <c r="V56">
        <f t="shared" si="69"/>
        <v>3</v>
      </c>
      <c r="W56" s="9">
        <f t="shared" si="66"/>
        <v>27</v>
      </c>
    </row>
    <row r="57" spans="1:24" x14ac:dyDescent="0.2">
      <c r="Q57" s="160" t="str">
        <f t="shared" si="63"/>
        <v>8TH</v>
      </c>
      <c r="R57" s="161" t="str">
        <f t="shared" si="64"/>
        <v>–</v>
      </c>
      <c r="S57" s="161" t="str">
        <f t="shared" si="65"/>
        <v>DEY</v>
      </c>
      <c r="T57" s="161">
        <f t="shared" si="67"/>
        <v>7.5</v>
      </c>
      <c r="U57" s="161">
        <f t="shared" si="68"/>
        <v>7.5</v>
      </c>
      <c r="V57" s="161">
        <f t="shared" si="69"/>
        <v>6</v>
      </c>
      <c r="W57" s="10">
        <f t="shared" si="66"/>
        <v>21</v>
      </c>
    </row>
    <row r="59" spans="1:24" x14ac:dyDescent="0.2">
      <c r="Q59" s="336" t="s">
        <v>90</v>
      </c>
      <c r="R59" s="337"/>
      <c r="S59" s="337"/>
      <c r="T59" s="337"/>
      <c r="U59" s="337"/>
      <c r="V59" s="337"/>
      <c r="W59" s="337"/>
      <c r="X59" s="4"/>
    </row>
    <row r="60" spans="1:24" x14ac:dyDescent="0.2">
      <c r="Q60" s="159"/>
      <c r="T60" t="s">
        <v>67</v>
      </c>
      <c r="U60" t="s">
        <v>87</v>
      </c>
      <c r="V60" t="s">
        <v>68</v>
      </c>
      <c r="W60" t="s">
        <v>69</v>
      </c>
      <c r="X60" s="9" t="s">
        <v>104</v>
      </c>
    </row>
    <row r="61" spans="1:24" x14ac:dyDescent="0.2">
      <c r="Q61" s="159" t="str">
        <f t="shared" ref="Q61:Q68" si="70">AB15</f>
        <v>1ST</v>
      </c>
      <c r="R61" t="str">
        <f t="shared" ref="R61:R68" si="71">AE15</f>
        <v>–</v>
      </c>
      <c r="S61" t="str">
        <f t="shared" ref="S61:S68" si="72">AC15</f>
        <v>STONES</v>
      </c>
      <c r="T61">
        <f>INDEX($AA$38:$AG$45,MATCH(S61,$AA$38:$AA$45,0),2)</f>
        <v>24</v>
      </c>
      <c r="U61">
        <f>INDEX($AA$38:$AG$45,MATCH(S61,$AA$38:$AA$45,0),3)</f>
        <v>7.5</v>
      </c>
      <c r="V61">
        <f>INDEX($AA$38:$AG$45,MATCH(S61,$AA$38:$AA$45,0),4)</f>
        <v>24</v>
      </c>
      <c r="W61">
        <f>INDEX($AA$38:$AG$45,MATCH(S61,$AA$38:$AA$45,0),5)</f>
        <v>10.5</v>
      </c>
      <c r="X61" s="9">
        <f t="shared" ref="X61:X68" si="73">AD15</f>
        <v>66</v>
      </c>
    </row>
    <row r="62" spans="1:24" x14ac:dyDescent="0.2">
      <c r="Q62" s="159" t="str">
        <f t="shared" si="70"/>
        <v>2ND</v>
      </c>
      <c r="R62" t="str">
        <f t="shared" si="71"/>
        <v>–</v>
      </c>
      <c r="S62" t="str">
        <f t="shared" si="72"/>
        <v>REILLY</v>
      </c>
      <c r="T62">
        <f t="shared" ref="T62:T68" si="74">INDEX($AA$38:$AG$45,MATCH(S62,$AA$38:$AA$45,0),2)</f>
        <v>18</v>
      </c>
      <c r="U62">
        <f t="shared" ref="U62:U68" si="75">INDEX($AA$38:$AG$45,MATCH(S62,$AA$38:$AA$45,0),3)</f>
        <v>12</v>
      </c>
      <c r="V62">
        <f t="shared" ref="V62:V68" si="76">INDEX($AA$38:$AG$45,MATCH(S62,$AA$38:$AA$45,0),4)</f>
        <v>21</v>
      </c>
      <c r="W62">
        <f t="shared" ref="W62:W68" si="77">INDEX($AA$38:$AG$45,MATCH(S62,$AA$38:$AA$45,0),5)</f>
        <v>10.5</v>
      </c>
      <c r="X62" s="9">
        <f t="shared" si="73"/>
        <v>61.5</v>
      </c>
    </row>
    <row r="63" spans="1:24" x14ac:dyDescent="0.2">
      <c r="Q63" s="159" t="str">
        <f t="shared" si="70"/>
        <v>=3RD</v>
      </c>
      <c r="R63" t="str">
        <f t="shared" si="71"/>
        <v>–</v>
      </c>
      <c r="S63" t="str">
        <f t="shared" si="72"/>
        <v>HOLLANDS</v>
      </c>
      <c r="T63">
        <f t="shared" si="74"/>
        <v>12</v>
      </c>
      <c r="U63">
        <f t="shared" si="75"/>
        <v>22.5</v>
      </c>
      <c r="V63">
        <f t="shared" si="76"/>
        <v>15</v>
      </c>
      <c r="W63">
        <f t="shared" si="77"/>
        <v>10.5</v>
      </c>
      <c r="X63" s="9">
        <f t="shared" si="73"/>
        <v>60</v>
      </c>
    </row>
    <row r="64" spans="1:24" x14ac:dyDescent="0.2">
      <c r="Q64" s="159" t="str">
        <f t="shared" si="70"/>
        <v>=3RD</v>
      </c>
      <c r="R64" t="str">
        <f t="shared" si="71"/>
        <v>–</v>
      </c>
      <c r="S64" t="str">
        <f t="shared" si="72"/>
        <v>FINDLAY</v>
      </c>
      <c r="T64">
        <f t="shared" si="74"/>
        <v>15</v>
      </c>
      <c r="U64">
        <f t="shared" si="75"/>
        <v>22.5</v>
      </c>
      <c r="V64">
        <f t="shared" si="76"/>
        <v>12</v>
      </c>
      <c r="W64">
        <f t="shared" si="77"/>
        <v>10.5</v>
      </c>
      <c r="X64" s="9">
        <f t="shared" si="73"/>
        <v>60</v>
      </c>
    </row>
    <row r="65" spans="17:25" x14ac:dyDescent="0.2">
      <c r="Q65" s="159" t="str">
        <f t="shared" si="70"/>
        <v>5TH</v>
      </c>
      <c r="R65" t="str">
        <f t="shared" si="71"/>
        <v>⬆</v>
      </c>
      <c r="S65" t="str">
        <f t="shared" si="72"/>
        <v>BELLIS</v>
      </c>
      <c r="T65">
        <f t="shared" si="74"/>
        <v>21</v>
      </c>
      <c r="U65">
        <f t="shared" si="75"/>
        <v>3</v>
      </c>
      <c r="V65">
        <f t="shared" si="76"/>
        <v>3</v>
      </c>
      <c r="W65">
        <f t="shared" si="77"/>
        <v>24</v>
      </c>
      <c r="X65" s="9">
        <f t="shared" si="73"/>
        <v>51</v>
      </c>
    </row>
    <row r="66" spans="17:25" x14ac:dyDescent="0.2">
      <c r="Q66" s="159" t="str">
        <f t="shared" si="70"/>
        <v>6TH</v>
      </c>
      <c r="R66" t="str">
        <f t="shared" si="71"/>
        <v>⬇</v>
      </c>
      <c r="S66" t="str">
        <f t="shared" si="72"/>
        <v>LAING</v>
      </c>
      <c r="T66">
        <f t="shared" si="74"/>
        <v>3</v>
      </c>
      <c r="U66">
        <f t="shared" si="75"/>
        <v>15</v>
      </c>
      <c r="V66">
        <f t="shared" si="76"/>
        <v>18</v>
      </c>
      <c r="W66">
        <f t="shared" si="77"/>
        <v>10.5</v>
      </c>
      <c r="X66" s="9">
        <f t="shared" si="73"/>
        <v>46.5</v>
      </c>
    </row>
    <row r="67" spans="17:25" x14ac:dyDescent="0.2">
      <c r="Q67" s="159" t="str">
        <f t="shared" si="70"/>
        <v>7TH</v>
      </c>
      <c r="R67" t="str">
        <f t="shared" si="71"/>
        <v>⬇</v>
      </c>
      <c r="S67" t="str">
        <f t="shared" si="72"/>
        <v>DONOVAN</v>
      </c>
      <c r="T67">
        <f t="shared" si="74"/>
        <v>7.5</v>
      </c>
      <c r="U67">
        <f t="shared" si="75"/>
        <v>18</v>
      </c>
      <c r="V67">
        <f t="shared" si="76"/>
        <v>9</v>
      </c>
      <c r="W67">
        <f t="shared" si="77"/>
        <v>10.5</v>
      </c>
      <c r="X67" s="9">
        <f t="shared" si="73"/>
        <v>45</v>
      </c>
    </row>
    <row r="68" spans="17:25" x14ac:dyDescent="0.2">
      <c r="Q68" s="160" t="str">
        <f t="shared" si="70"/>
        <v>8TH</v>
      </c>
      <c r="R68" s="161" t="str">
        <f t="shared" si="71"/>
        <v>–</v>
      </c>
      <c r="S68" s="161" t="str">
        <f t="shared" si="72"/>
        <v>DEY</v>
      </c>
      <c r="T68" s="161">
        <f t="shared" si="74"/>
        <v>7.5</v>
      </c>
      <c r="U68" s="161">
        <f t="shared" si="75"/>
        <v>7.5</v>
      </c>
      <c r="V68" s="161">
        <f t="shared" si="76"/>
        <v>6</v>
      </c>
      <c r="W68" s="161">
        <f t="shared" si="77"/>
        <v>21</v>
      </c>
      <c r="X68" s="10">
        <f t="shared" si="73"/>
        <v>42</v>
      </c>
    </row>
    <row r="70" spans="17:25" x14ac:dyDescent="0.2">
      <c r="Q70" s="336" t="s">
        <v>91</v>
      </c>
      <c r="R70" s="337"/>
      <c r="S70" s="337"/>
      <c r="T70" s="337"/>
      <c r="U70" s="337"/>
      <c r="V70" s="337"/>
      <c r="W70" s="337"/>
      <c r="X70" s="337"/>
      <c r="Y70" s="4"/>
    </row>
    <row r="71" spans="17:25" x14ac:dyDescent="0.2">
      <c r="Q71" s="159"/>
      <c r="T71" t="s">
        <v>67</v>
      </c>
      <c r="U71" t="s">
        <v>87</v>
      </c>
      <c r="V71" t="s">
        <v>68</v>
      </c>
      <c r="W71" t="s">
        <v>69</v>
      </c>
      <c r="X71" t="s">
        <v>92</v>
      </c>
      <c r="Y71" s="9" t="s">
        <v>104</v>
      </c>
    </row>
    <row r="72" spans="17:25" x14ac:dyDescent="0.2">
      <c r="Q72" s="159" t="str">
        <f t="shared" ref="Q72:Q79" si="78">AG15</f>
        <v>1ST</v>
      </c>
      <c r="R72" t="str">
        <f t="shared" ref="R72:R79" si="79">AJ15</f>
        <v>⬆</v>
      </c>
      <c r="S72" t="str">
        <f t="shared" ref="S72:S79" si="80">AH15</f>
        <v>FINDLAY</v>
      </c>
      <c r="T72">
        <f>INDEX($AA$38:$AG$45,MATCH(S72,$AA$38:$AA$45,0),2)</f>
        <v>15</v>
      </c>
      <c r="U72">
        <f>INDEX($AA$38:$AG$45,MATCH(S72,$AA$38:$AA$45,0),3)</f>
        <v>22.5</v>
      </c>
      <c r="V72">
        <f>INDEX($AA$38:$AG$45,MATCH(S72,$AA$38:$AA$45,0),4)</f>
        <v>12</v>
      </c>
      <c r="W72">
        <f>INDEX($AA$38:$AG$45,MATCH(S72,$AA$38:$AA$45,0),5)</f>
        <v>10.5</v>
      </c>
      <c r="X72">
        <f>INDEX($AA$38:$AG$45,MATCH(S72,$AA$38:$AA$45,0),6)</f>
        <v>21</v>
      </c>
      <c r="Y72" s="9">
        <f t="shared" ref="Y72:Y79" si="81">AI15</f>
        <v>81</v>
      </c>
    </row>
    <row r="73" spans="17:25" x14ac:dyDescent="0.2">
      <c r="Q73" s="159" t="str">
        <f t="shared" si="78"/>
        <v>2ND</v>
      </c>
      <c r="R73" t="str">
        <f t="shared" si="79"/>
        <v>⬆</v>
      </c>
      <c r="S73" t="str">
        <f t="shared" si="80"/>
        <v>HOLLANDS</v>
      </c>
      <c r="T73">
        <f t="shared" ref="T73:T79" si="82">INDEX($AA$38:$AG$45,MATCH(S73,$AA$38:$AA$45,0),2)</f>
        <v>12</v>
      </c>
      <c r="U73">
        <f t="shared" ref="U73:U79" si="83">INDEX($AA$38:$AG$45,MATCH(S73,$AA$38:$AA$45,0),3)</f>
        <v>22.5</v>
      </c>
      <c r="V73">
        <f t="shared" ref="V73:V79" si="84">INDEX($AA$38:$AG$45,MATCH(S73,$AA$38:$AA$45,0),4)</f>
        <v>15</v>
      </c>
      <c r="W73">
        <f t="shared" ref="W73:W79" si="85">INDEX($AA$38:$AG$45,MATCH(S73,$AA$38:$AA$45,0),5)</f>
        <v>10.5</v>
      </c>
      <c r="X73">
        <f t="shared" ref="X73:X79" si="86">INDEX($AA$38:$AG$45,MATCH(S73,$AA$38:$AA$45,0),6)</f>
        <v>16.5</v>
      </c>
      <c r="Y73" s="9">
        <f t="shared" si="81"/>
        <v>76.5</v>
      </c>
    </row>
    <row r="74" spans="17:25" x14ac:dyDescent="0.2">
      <c r="Q74" s="159" t="str">
        <f t="shared" si="78"/>
        <v>3RD</v>
      </c>
      <c r="R74" t="str">
        <f t="shared" si="79"/>
        <v>⬇</v>
      </c>
      <c r="S74" t="str">
        <f t="shared" si="80"/>
        <v>STONES</v>
      </c>
      <c r="T74">
        <f t="shared" si="82"/>
        <v>24</v>
      </c>
      <c r="U74">
        <f t="shared" si="83"/>
        <v>7.5</v>
      </c>
      <c r="V74">
        <f t="shared" si="84"/>
        <v>24</v>
      </c>
      <c r="W74">
        <f t="shared" si="85"/>
        <v>10.5</v>
      </c>
      <c r="X74">
        <f t="shared" si="86"/>
        <v>6</v>
      </c>
      <c r="Y74" s="9">
        <f t="shared" si="81"/>
        <v>72</v>
      </c>
    </row>
    <row r="75" spans="17:25" x14ac:dyDescent="0.2">
      <c r="Q75" s="159" t="str">
        <f t="shared" si="78"/>
        <v>=4TH</v>
      </c>
      <c r="R75" t="str">
        <f t="shared" si="79"/>
        <v>⬆</v>
      </c>
      <c r="S75" t="str">
        <f t="shared" si="80"/>
        <v>LAING</v>
      </c>
      <c r="T75">
        <f t="shared" si="82"/>
        <v>3</v>
      </c>
      <c r="U75">
        <f t="shared" si="83"/>
        <v>15</v>
      </c>
      <c r="V75">
        <f t="shared" si="84"/>
        <v>18</v>
      </c>
      <c r="W75">
        <f t="shared" si="85"/>
        <v>10.5</v>
      </c>
      <c r="X75">
        <f t="shared" si="86"/>
        <v>24</v>
      </c>
      <c r="Y75" s="9">
        <f t="shared" si="81"/>
        <v>70.5</v>
      </c>
    </row>
    <row r="76" spans="17:25" x14ac:dyDescent="0.2">
      <c r="Q76" s="159" t="str">
        <f t="shared" si="78"/>
        <v>=4TH</v>
      </c>
      <c r="R76" t="str">
        <f t="shared" si="79"/>
        <v>⬇</v>
      </c>
      <c r="S76" t="str">
        <f t="shared" si="80"/>
        <v>REILLY</v>
      </c>
      <c r="T76">
        <f t="shared" si="82"/>
        <v>18</v>
      </c>
      <c r="U76">
        <f t="shared" si="83"/>
        <v>12</v>
      </c>
      <c r="V76">
        <f t="shared" si="84"/>
        <v>21</v>
      </c>
      <c r="W76">
        <f t="shared" si="85"/>
        <v>10.5</v>
      </c>
      <c r="X76">
        <f t="shared" si="86"/>
        <v>9</v>
      </c>
      <c r="Y76" s="9">
        <f t="shared" si="81"/>
        <v>70.5</v>
      </c>
    </row>
    <row r="77" spans="17:25" x14ac:dyDescent="0.2">
      <c r="Q77" s="159" t="str">
        <f t="shared" si="78"/>
        <v>6TH</v>
      </c>
      <c r="R77" t="str">
        <f t="shared" si="79"/>
        <v>⬆</v>
      </c>
      <c r="S77" t="str">
        <f t="shared" si="80"/>
        <v>DEY</v>
      </c>
      <c r="T77">
        <f t="shared" si="82"/>
        <v>7.5</v>
      </c>
      <c r="U77">
        <f t="shared" si="83"/>
        <v>7.5</v>
      </c>
      <c r="V77">
        <f t="shared" si="84"/>
        <v>6</v>
      </c>
      <c r="W77">
        <f t="shared" si="85"/>
        <v>21</v>
      </c>
      <c r="X77">
        <f t="shared" si="86"/>
        <v>16.5</v>
      </c>
      <c r="Y77" s="9">
        <f t="shared" si="81"/>
        <v>58.5</v>
      </c>
    </row>
    <row r="78" spans="17:25" x14ac:dyDescent="0.2">
      <c r="Q78" s="159" t="str">
        <f t="shared" si="78"/>
        <v>7TH</v>
      </c>
      <c r="R78" t="str">
        <f t="shared" si="79"/>
        <v>–</v>
      </c>
      <c r="S78" t="str">
        <f t="shared" si="80"/>
        <v>DONOVAN</v>
      </c>
      <c r="T78">
        <f t="shared" si="82"/>
        <v>7.5</v>
      </c>
      <c r="U78">
        <f t="shared" si="83"/>
        <v>18</v>
      </c>
      <c r="V78">
        <f t="shared" si="84"/>
        <v>9</v>
      </c>
      <c r="W78">
        <f t="shared" si="85"/>
        <v>10.5</v>
      </c>
      <c r="X78">
        <f t="shared" si="86"/>
        <v>12</v>
      </c>
      <c r="Y78" s="9">
        <f t="shared" si="81"/>
        <v>57</v>
      </c>
    </row>
    <row r="79" spans="17:25" x14ac:dyDescent="0.2">
      <c r="Q79" s="160" t="str">
        <f t="shared" si="78"/>
        <v>8TH</v>
      </c>
      <c r="R79" s="161" t="str">
        <f t="shared" si="79"/>
        <v>⬇</v>
      </c>
      <c r="S79" s="161" t="str">
        <f t="shared" si="80"/>
        <v>BELLIS</v>
      </c>
      <c r="T79" s="161">
        <f t="shared" si="82"/>
        <v>21</v>
      </c>
      <c r="U79" s="161">
        <f t="shared" si="83"/>
        <v>3</v>
      </c>
      <c r="V79" s="161">
        <f t="shared" si="84"/>
        <v>3</v>
      </c>
      <c r="W79" s="161">
        <f t="shared" si="85"/>
        <v>24</v>
      </c>
      <c r="X79" s="161">
        <f t="shared" si="86"/>
        <v>3</v>
      </c>
      <c r="Y79" s="10">
        <f t="shared" si="81"/>
        <v>54</v>
      </c>
    </row>
    <row r="81" spans="17:26" x14ac:dyDescent="0.2">
      <c r="Q81" s="336" t="s">
        <v>93</v>
      </c>
      <c r="R81" s="337"/>
      <c r="S81" s="337"/>
      <c r="T81" s="337"/>
      <c r="U81" s="337"/>
      <c r="V81" s="337"/>
      <c r="W81" s="337"/>
      <c r="X81" s="337"/>
      <c r="Y81" s="337"/>
      <c r="Z81" s="4"/>
    </row>
    <row r="82" spans="17:26" x14ac:dyDescent="0.2">
      <c r="Q82" s="159"/>
      <c r="T82" t="s">
        <v>67</v>
      </c>
      <c r="U82" t="s">
        <v>87</v>
      </c>
      <c r="V82" t="s">
        <v>68</v>
      </c>
      <c r="W82" t="s">
        <v>69</v>
      </c>
      <c r="X82" t="s">
        <v>92</v>
      </c>
      <c r="Y82" t="s">
        <v>105</v>
      </c>
      <c r="Z82" s="9" t="s">
        <v>103</v>
      </c>
    </row>
    <row r="83" spans="17:26" x14ac:dyDescent="0.2">
      <c r="Q83" s="159" t="str">
        <f t="shared" ref="Q83:Q90" si="87">AL15</f>
        <v>1ST</v>
      </c>
      <c r="R83" t="str">
        <f t="shared" ref="R83:R90" si="88">AO15</f>
        <v>⬆</v>
      </c>
      <c r="S83" t="str">
        <f t="shared" ref="S83:S90" si="89">AM15</f>
        <v>STONES</v>
      </c>
      <c r="T83">
        <f>INDEX($AA$38:$AG$45,MATCH(S83,$AA$38:$AA$45,0),2)</f>
        <v>24</v>
      </c>
      <c r="U83">
        <f>INDEX($AA$38:$AG$45,MATCH(S83,$AA$38:$AA$45,0),3)</f>
        <v>7.5</v>
      </c>
      <c r="V83">
        <f>INDEX($AA$38:$AG$45,MATCH(S83,$AA$38:$AA$45,0),4)</f>
        <v>24</v>
      </c>
      <c r="W83">
        <f>INDEX($AA$38:$AG$45,MATCH(S83,$AA$38:$AA$45,0),5)</f>
        <v>10.5</v>
      </c>
      <c r="X83">
        <f>INDEX($AA$38:$AG$45,MATCH(S83,$AA$38:$AA$45,0),6)</f>
        <v>6</v>
      </c>
      <c r="Y83">
        <f>INDEX($AA$38:$AG$45,MATCH(S83,$AA$38:$AA$45,0),7)</f>
        <v>24</v>
      </c>
      <c r="Z83" s="9">
        <f t="shared" ref="Z83:Z90" si="90">AN15</f>
        <v>96</v>
      </c>
    </row>
    <row r="84" spans="17:26" x14ac:dyDescent="0.2">
      <c r="Q84" s="159" t="str">
        <f t="shared" si="87"/>
        <v>2ND</v>
      </c>
      <c r="R84" t="str">
        <f t="shared" si="88"/>
        <v>⬇</v>
      </c>
      <c r="S84" t="str">
        <f t="shared" si="89"/>
        <v>FINDLAY</v>
      </c>
      <c r="T84">
        <f t="shared" ref="T84:T90" si="91">INDEX($AA$38:$AG$45,MATCH(S84,$AA$38:$AA$45,0),2)</f>
        <v>15</v>
      </c>
      <c r="U84">
        <f t="shared" ref="U84:U90" si="92">INDEX($AA$38:$AG$45,MATCH(S84,$AA$38:$AA$45,0),3)</f>
        <v>22.5</v>
      </c>
      <c r="V84">
        <f t="shared" ref="V84:V90" si="93">INDEX($AA$38:$AG$45,MATCH(S84,$AA$38:$AA$45,0),4)</f>
        <v>12</v>
      </c>
      <c r="W84">
        <f t="shared" ref="W84:W90" si="94">INDEX($AA$38:$AG$45,MATCH(S84,$AA$38:$AA$45,0),5)</f>
        <v>10.5</v>
      </c>
      <c r="X84">
        <f t="shared" ref="X84:X90" si="95">INDEX($AA$38:$AG$45,MATCH(S84,$AA$38:$AA$45,0),6)</f>
        <v>21</v>
      </c>
      <c r="Y84">
        <f t="shared" ref="Y84:Y90" si="96">INDEX($AA$38:$AG$45,MATCH(S84,$AA$38:$AA$45,0),7)</f>
        <v>12</v>
      </c>
      <c r="Z84" s="9">
        <f t="shared" si="90"/>
        <v>93</v>
      </c>
    </row>
    <row r="85" spans="17:26" x14ac:dyDescent="0.2">
      <c r="Q85" s="159" t="str">
        <f t="shared" si="87"/>
        <v>=3RD</v>
      </c>
      <c r="R85" t="str">
        <f t="shared" si="88"/>
        <v>⬇</v>
      </c>
      <c r="S85" t="str">
        <f t="shared" si="89"/>
        <v>HOLLANDS</v>
      </c>
      <c r="T85">
        <f t="shared" si="91"/>
        <v>12</v>
      </c>
      <c r="U85">
        <f t="shared" si="92"/>
        <v>22.5</v>
      </c>
      <c r="V85">
        <f t="shared" si="93"/>
        <v>15</v>
      </c>
      <c r="W85">
        <f t="shared" si="94"/>
        <v>10.5</v>
      </c>
      <c r="X85">
        <f t="shared" si="95"/>
        <v>16.5</v>
      </c>
      <c r="Y85">
        <f t="shared" si="96"/>
        <v>15</v>
      </c>
      <c r="Z85" s="9">
        <f t="shared" si="90"/>
        <v>91.5</v>
      </c>
    </row>
    <row r="86" spans="17:26" x14ac:dyDescent="0.2">
      <c r="Q86" s="159" t="str">
        <f t="shared" si="87"/>
        <v>=3RD</v>
      </c>
      <c r="R86" t="str">
        <f t="shared" si="88"/>
        <v>⬆</v>
      </c>
      <c r="S86" t="str">
        <f t="shared" si="89"/>
        <v>REILLY</v>
      </c>
      <c r="T86">
        <f t="shared" si="91"/>
        <v>18</v>
      </c>
      <c r="U86">
        <f t="shared" si="92"/>
        <v>12</v>
      </c>
      <c r="V86">
        <f t="shared" si="93"/>
        <v>21</v>
      </c>
      <c r="W86">
        <f t="shared" si="94"/>
        <v>10.5</v>
      </c>
      <c r="X86">
        <f t="shared" si="95"/>
        <v>9</v>
      </c>
      <c r="Y86">
        <f t="shared" si="96"/>
        <v>21</v>
      </c>
      <c r="Z86" s="9">
        <f t="shared" si="90"/>
        <v>91.5</v>
      </c>
    </row>
    <row r="87" spans="17:26" x14ac:dyDescent="0.2">
      <c r="Q87" s="159" t="str">
        <f t="shared" si="87"/>
        <v>5TH</v>
      </c>
      <c r="R87" t="str">
        <f t="shared" si="88"/>
        <v>⬇</v>
      </c>
      <c r="S87" t="str">
        <f t="shared" si="89"/>
        <v>LAING</v>
      </c>
      <c r="T87">
        <f t="shared" si="91"/>
        <v>3</v>
      </c>
      <c r="U87">
        <f t="shared" si="92"/>
        <v>15</v>
      </c>
      <c r="V87">
        <f t="shared" si="93"/>
        <v>18</v>
      </c>
      <c r="W87">
        <f t="shared" si="94"/>
        <v>10.5</v>
      </c>
      <c r="X87">
        <f t="shared" si="95"/>
        <v>24</v>
      </c>
      <c r="Y87">
        <f t="shared" si="96"/>
        <v>18</v>
      </c>
      <c r="Z87" s="9">
        <f t="shared" si="90"/>
        <v>88.5</v>
      </c>
    </row>
    <row r="88" spans="17:26" x14ac:dyDescent="0.2">
      <c r="Q88" s="159" t="str">
        <f t="shared" si="87"/>
        <v>6TH</v>
      </c>
      <c r="R88" t="str">
        <f t="shared" si="88"/>
        <v>⬆</v>
      </c>
      <c r="S88" t="str">
        <f t="shared" si="89"/>
        <v>DONOVAN</v>
      </c>
      <c r="T88">
        <f t="shared" si="91"/>
        <v>7.5</v>
      </c>
      <c r="U88">
        <f t="shared" si="92"/>
        <v>18</v>
      </c>
      <c r="V88">
        <f t="shared" si="93"/>
        <v>9</v>
      </c>
      <c r="W88">
        <f t="shared" si="94"/>
        <v>10.5</v>
      </c>
      <c r="X88">
        <f t="shared" si="95"/>
        <v>12</v>
      </c>
      <c r="Y88">
        <f t="shared" si="96"/>
        <v>9</v>
      </c>
      <c r="Z88" s="9">
        <f t="shared" si="90"/>
        <v>66</v>
      </c>
    </row>
    <row r="89" spans="17:26" x14ac:dyDescent="0.2">
      <c r="Q89" s="159" t="str">
        <f t="shared" si="87"/>
        <v>7TH</v>
      </c>
      <c r="R89" t="str">
        <f t="shared" si="88"/>
        <v>⬇</v>
      </c>
      <c r="S89" t="str">
        <f t="shared" si="89"/>
        <v>DEY</v>
      </c>
      <c r="T89">
        <f t="shared" si="91"/>
        <v>7.5</v>
      </c>
      <c r="U89">
        <f t="shared" si="92"/>
        <v>7.5</v>
      </c>
      <c r="V89">
        <f t="shared" si="93"/>
        <v>6</v>
      </c>
      <c r="W89">
        <f t="shared" si="94"/>
        <v>21</v>
      </c>
      <c r="X89">
        <f t="shared" si="95"/>
        <v>16.5</v>
      </c>
      <c r="Y89">
        <f t="shared" si="96"/>
        <v>6</v>
      </c>
      <c r="Z89" s="9">
        <f t="shared" si="90"/>
        <v>64.5</v>
      </c>
    </row>
    <row r="90" spans="17:26" x14ac:dyDescent="0.2">
      <c r="Q90" s="160" t="str">
        <f t="shared" si="87"/>
        <v>8TH</v>
      </c>
      <c r="R90" s="161" t="str">
        <f t="shared" si="88"/>
        <v>–</v>
      </c>
      <c r="S90" s="161" t="str">
        <f t="shared" si="89"/>
        <v>BELLIS</v>
      </c>
      <c r="T90" s="161">
        <f t="shared" si="91"/>
        <v>21</v>
      </c>
      <c r="U90" s="161">
        <f t="shared" si="92"/>
        <v>3</v>
      </c>
      <c r="V90" s="161">
        <f t="shared" si="93"/>
        <v>3</v>
      </c>
      <c r="W90" s="161">
        <f t="shared" si="94"/>
        <v>24</v>
      </c>
      <c r="X90" s="161">
        <f t="shared" si="95"/>
        <v>3</v>
      </c>
      <c r="Y90" s="161">
        <f t="shared" si="96"/>
        <v>3</v>
      </c>
      <c r="Z90" s="10">
        <f t="shared" si="90"/>
        <v>57</v>
      </c>
    </row>
  </sheetData>
  <mergeCells count="7">
    <mergeCell ref="Q59:W59"/>
    <mergeCell ref="Q70:X70"/>
    <mergeCell ref="Q81:Y81"/>
    <mergeCell ref="I22:J22"/>
    <mergeCell ref="I32:J32"/>
    <mergeCell ref="I41:J41"/>
    <mergeCell ref="P24:AN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workbookViewId="0">
      <selection activeCell="J2" sqref="J2"/>
    </sheetView>
  </sheetViews>
  <sheetFormatPr baseColWidth="10" defaultColWidth="8.83203125" defaultRowHeight="15" x14ac:dyDescent="0.2"/>
  <cols>
    <col min="1" max="1" width="12" customWidth="1"/>
  </cols>
  <sheetData>
    <row r="1" spans="1:10" x14ac:dyDescent="0.2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120</v>
      </c>
      <c r="J1" t="s">
        <v>121</v>
      </c>
    </row>
    <row r="6" spans="1:10" x14ac:dyDescent="0.2">
      <c r="A6" t="s">
        <v>3</v>
      </c>
      <c r="B6">
        <v>6.8</v>
      </c>
      <c r="C6">
        <v>6.8</v>
      </c>
      <c r="D6">
        <v>6.9</v>
      </c>
      <c r="E6">
        <v>7.1</v>
      </c>
    </row>
    <row r="7" spans="1:10" x14ac:dyDescent="0.2">
      <c r="A7" t="s">
        <v>4</v>
      </c>
      <c r="B7">
        <v>18</v>
      </c>
      <c r="C7">
        <v>18</v>
      </c>
      <c r="D7">
        <v>18</v>
      </c>
      <c r="E7">
        <v>18</v>
      </c>
    </row>
    <row r="8" spans="1:10" x14ac:dyDescent="0.2">
      <c r="A8" t="s">
        <v>5</v>
      </c>
      <c r="B8">
        <v>12.5</v>
      </c>
      <c r="C8">
        <v>12.5</v>
      </c>
      <c r="D8">
        <v>12.5</v>
      </c>
      <c r="E8">
        <v>12.5</v>
      </c>
    </row>
    <row r="9" spans="1:10" x14ac:dyDescent="0.2">
      <c r="A9" t="s">
        <v>6</v>
      </c>
      <c r="B9">
        <v>13</v>
      </c>
      <c r="C9">
        <v>13</v>
      </c>
      <c r="D9">
        <v>12.4</v>
      </c>
      <c r="E9">
        <v>11.6</v>
      </c>
    </row>
    <row r="10" spans="1:10" x14ac:dyDescent="0.2">
      <c r="A10" t="s">
        <v>7</v>
      </c>
      <c r="B10">
        <v>9.1999999999999993</v>
      </c>
      <c r="C10">
        <v>9.1999999999999993</v>
      </c>
      <c r="D10">
        <v>8.8000000000000007</v>
      </c>
      <c r="E10">
        <v>8.8000000000000007</v>
      </c>
    </row>
    <row r="11" spans="1:10" x14ac:dyDescent="0.2">
      <c r="A11" t="s">
        <v>8</v>
      </c>
    </row>
    <row r="12" spans="1:10" x14ac:dyDescent="0.2">
      <c r="A12" t="s">
        <v>9</v>
      </c>
      <c r="B12">
        <v>2.9</v>
      </c>
      <c r="C12">
        <v>2.7</v>
      </c>
      <c r="D12">
        <v>2.5</v>
      </c>
      <c r="E12">
        <v>1.8</v>
      </c>
    </row>
    <row r="13" spans="1:10" x14ac:dyDescent="0.2">
      <c r="A13" t="s">
        <v>10</v>
      </c>
      <c r="B13">
        <v>13.7</v>
      </c>
      <c r="C13">
        <v>13.8</v>
      </c>
      <c r="D13">
        <v>13.6</v>
      </c>
      <c r="E13">
        <v>13.5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884F-92C9-7441-9929-E39D3C634613}">
  <dimension ref="A1:DE44"/>
  <sheetViews>
    <sheetView zoomScale="75" workbookViewId="0">
      <selection activeCell="Q44" sqref="Q44"/>
    </sheetView>
  </sheetViews>
  <sheetFormatPr baseColWidth="10" defaultRowHeight="15" x14ac:dyDescent="0.2"/>
  <sheetData>
    <row r="1" spans="1:109" ht="29" x14ac:dyDescent="0.35">
      <c r="A1" s="263" t="s">
        <v>108</v>
      </c>
      <c r="B1" s="263"/>
      <c r="C1" s="263"/>
      <c r="D1" s="263"/>
      <c r="E1" s="263"/>
      <c r="F1" s="263"/>
      <c r="G1" s="263"/>
      <c r="H1" s="263"/>
    </row>
    <row r="2" spans="1:109" x14ac:dyDescent="0.2">
      <c r="B2" s="267">
        <f>'RND 1 STBL'!C4</f>
        <v>1</v>
      </c>
      <c r="C2" s="268">
        <f>'RND 1 STBL'!D4</f>
        <v>2</v>
      </c>
      <c r="D2" s="268">
        <f>'RND 1 STBL'!E4</f>
        <v>3</v>
      </c>
      <c r="E2" s="268">
        <f>'RND 1 STBL'!F4</f>
        <v>4</v>
      </c>
      <c r="F2" s="268">
        <f>'RND 1 STBL'!G4</f>
        <v>5</v>
      </c>
      <c r="G2" s="268">
        <f>'RND 1 STBL'!H4</f>
        <v>6</v>
      </c>
      <c r="H2" s="268">
        <f>'RND 1 STBL'!I4</f>
        <v>7</v>
      </c>
      <c r="I2" s="268">
        <f>'RND 1 STBL'!J4</f>
        <v>8</v>
      </c>
      <c r="J2" s="268">
        <f>'RND 1 STBL'!K4</f>
        <v>9</v>
      </c>
      <c r="K2" s="268">
        <f>'RND 1 STBL'!L4</f>
        <v>10</v>
      </c>
      <c r="L2" s="268">
        <f>'RND 1 STBL'!M4</f>
        <v>11</v>
      </c>
      <c r="M2" s="268">
        <f>'RND 1 STBL'!N4</f>
        <v>12</v>
      </c>
      <c r="N2" s="268">
        <f>'RND 1 STBL'!O4</f>
        <v>13</v>
      </c>
      <c r="O2" s="268">
        <f>'RND 1 STBL'!P4</f>
        <v>14</v>
      </c>
      <c r="P2" s="268">
        <f>'RND 1 STBL'!Q4</f>
        <v>15</v>
      </c>
      <c r="Q2" s="268">
        <f>'RND 1 STBL'!R4</f>
        <v>16</v>
      </c>
      <c r="R2" s="268">
        <f>'RND 1 STBL'!S4</f>
        <v>17</v>
      </c>
      <c r="S2" s="268">
        <f>'RND 1 STBL'!T4</f>
        <v>18</v>
      </c>
      <c r="T2" s="269">
        <f>'RND 2 MP'!C4</f>
        <v>1</v>
      </c>
      <c r="U2" s="269">
        <f>'RND 2 MP'!D4</f>
        <v>2</v>
      </c>
      <c r="V2" s="269">
        <f>'RND 2 MP'!E4</f>
        <v>3</v>
      </c>
      <c r="W2" s="269">
        <f>'RND 2 MP'!F4</f>
        <v>4</v>
      </c>
      <c r="X2" s="269">
        <f>'RND 2 MP'!G4</f>
        <v>5</v>
      </c>
      <c r="Y2" s="269">
        <f>'RND 2 MP'!H4</f>
        <v>6</v>
      </c>
      <c r="Z2" s="269">
        <f>'RND 2 MP'!I4</f>
        <v>7</v>
      </c>
      <c r="AA2" s="269">
        <f>'RND 2 MP'!J4</f>
        <v>8</v>
      </c>
      <c r="AB2" s="269">
        <f>'RND 2 MP'!K4</f>
        <v>9</v>
      </c>
      <c r="AC2" s="269">
        <f>'RND 2 MP'!L4</f>
        <v>10</v>
      </c>
      <c r="AD2" s="269">
        <f>'RND 2 MP'!M4</f>
        <v>11</v>
      </c>
      <c r="AE2" s="269">
        <f>'RND 2 MP'!N4</f>
        <v>12</v>
      </c>
      <c r="AF2" s="269">
        <f>'RND 2 MP'!O4</f>
        <v>13</v>
      </c>
      <c r="AG2" s="269">
        <f>'RND 2 MP'!P4</f>
        <v>14</v>
      </c>
      <c r="AH2" s="269">
        <f>'RND 2 MP'!Q4</f>
        <v>15</v>
      </c>
      <c r="AI2" s="269">
        <f>'RND 2 MP'!R4</f>
        <v>16</v>
      </c>
      <c r="AJ2" s="269">
        <f>'RND 2 MP'!S4</f>
        <v>17</v>
      </c>
      <c r="AK2" s="269">
        <f>'RND 2 MP'!T4</f>
        <v>18</v>
      </c>
      <c r="AL2" s="270">
        <f>'RND 3 MSTB'!C4</f>
        <v>1</v>
      </c>
      <c r="AM2" s="270">
        <f>'RND 3 MSTB'!D4</f>
        <v>2</v>
      </c>
      <c r="AN2" s="270">
        <f>'RND 3 MSTB'!E4</f>
        <v>3</v>
      </c>
      <c r="AO2" s="270">
        <f>'RND 3 MSTB'!F4</f>
        <v>4</v>
      </c>
      <c r="AP2" s="270">
        <f>'RND 3 MSTB'!G4</f>
        <v>5</v>
      </c>
      <c r="AQ2" s="270">
        <f>'RND 3 MSTB'!H4</f>
        <v>6</v>
      </c>
      <c r="AR2" s="270">
        <f>'RND 3 MSTB'!I4</f>
        <v>7</v>
      </c>
      <c r="AS2" s="270">
        <f>'RND 3 MSTB'!J4</f>
        <v>8</v>
      </c>
      <c r="AT2" s="270">
        <f>'RND 3 MSTB'!K4</f>
        <v>9</v>
      </c>
      <c r="AU2" s="270">
        <f>'RND 3 MSTB'!L4</f>
        <v>10</v>
      </c>
      <c r="AV2" s="270">
        <f>'RND 3 MSTB'!M4</f>
        <v>11</v>
      </c>
      <c r="AW2" s="270">
        <f>'RND 3 MSTB'!N4</f>
        <v>12</v>
      </c>
      <c r="AX2" s="270">
        <f>'RND 3 MSTB'!O4</f>
        <v>13</v>
      </c>
      <c r="AY2" s="270">
        <f>'RND 3 MSTB'!P4</f>
        <v>14</v>
      </c>
      <c r="AZ2" s="270">
        <f>'RND 3 MSTB'!Q4</f>
        <v>15</v>
      </c>
      <c r="BA2" s="270">
        <f>'RND 3 MSTB'!R4</f>
        <v>16</v>
      </c>
      <c r="BB2" s="270">
        <f>'RND 3 MSTB'!S4</f>
        <v>17</v>
      </c>
      <c r="BC2" s="270">
        <f>'RND 3 MSTB'!T4</f>
        <v>18</v>
      </c>
      <c r="BD2" s="271">
        <f>'RND 4 STBL'!C4</f>
        <v>1</v>
      </c>
      <c r="BE2" s="271">
        <f>'RND 4 STBL'!D4</f>
        <v>2</v>
      </c>
      <c r="BF2" s="271">
        <f>'RND 4 STBL'!E4</f>
        <v>3</v>
      </c>
      <c r="BG2" s="271">
        <f>'RND 4 STBL'!F4</f>
        <v>4</v>
      </c>
      <c r="BH2" s="271">
        <f>'RND 4 STBL'!G4</f>
        <v>5</v>
      </c>
      <c r="BI2" s="271">
        <f>'RND 4 STBL'!H4</f>
        <v>6</v>
      </c>
      <c r="BJ2" s="271">
        <f>'RND 4 STBL'!I4</f>
        <v>7</v>
      </c>
      <c r="BK2" s="271">
        <f>'RND 4 STBL'!J4</f>
        <v>8</v>
      </c>
      <c r="BL2" s="271">
        <f>'RND 4 STBL'!K4</f>
        <v>9</v>
      </c>
      <c r="BM2" s="271">
        <f>'RND 4 STBL'!L4</f>
        <v>10</v>
      </c>
      <c r="BN2" s="271">
        <f>'RND 4 STBL'!M4</f>
        <v>11</v>
      </c>
      <c r="BO2" s="271">
        <f>'RND 4 STBL'!N4</f>
        <v>12</v>
      </c>
      <c r="BP2" s="271">
        <f>'RND 4 STBL'!O4</f>
        <v>13</v>
      </c>
      <c r="BQ2" s="271">
        <f>'RND 4 STBL'!P4</f>
        <v>14</v>
      </c>
      <c r="BR2" s="271">
        <f>'RND 4 STBL'!Q4</f>
        <v>15</v>
      </c>
      <c r="BS2" s="271">
        <f>'RND 4 STBL'!R4</f>
        <v>16</v>
      </c>
      <c r="BT2" s="271">
        <f>'RND 4 STBL'!S4</f>
        <v>17</v>
      </c>
      <c r="BU2" s="271">
        <f>'RND 4 STBL'!T4</f>
        <v>18</v>
      </c>
      <c r="BV2" s="197">
        <f>'RND 5 MP'!C4</f>
        <v>1</v>
      </c>
      <c r="BW2" s="197">
        <f>'RND 5 MP'!D4</f>
        <v>2</v>
      </c>
      <c r="BX2" s="197">
        <f>'RND 5 MP'!E4</f>
        <v>3</v>
      </c>
      <c r="BY2" s="197">
        <f>'RND 5 MP'!F4</f>
        <v>4</v>
      </c>
      <c r="BZ2" s="197">
        <f>'RND 5 MP'!G4</f>
        <v>5</v>
      </c>
      <c r="CA2" s="197">
        <f>'RND 5 MP'!H4</f>
        <v>6</v>
      </c>
      <c r="CB2" s="197">
        <f>'RND 5 MP'!I4</f>
        <v>7</v>
      </c>
      <c r="CC2" s="197">
        <f>'RND 5 MP'!J4</f>
        <v>8</v>
      </c>
      <c r="CD2" s="197">
        <f>'RND 5 MP'!K4</f>
        <v>9</v>
      </c>
      <c r="CE2" s="197">
        <f>'RND 5 MP'!L4</f>
        <v>10</v>
      </c>
      <c r="CF2" s="197">
        <f>'RND 5 MP'!M4</f>
        <v>11</v>
      </c>
      <c r="CG2" s="197">
        <f>'RND 5 MP'!N4</f>
        <v>12</v>
      </c>
      <c r="CH2" s="197">
        <f>'RND 5 MP'!O4</f>
        <v>13</v>
      </c>
      <c r="CI2" s="197">
        <f>'RND 5 MP'!P4</f>
        <v>14</v>
      </c>
      <c r="CJ2" s="197">
        <f>'RND 5 MP'!Q4</f>
        <v>15</v>
      </c>
      <c r="CK2" s="197">
        <f>'RND 5 MP'!R4</f>
        <v>16</v>
      </c>
      <c r="CL2" s="197">
        <f>'RND 5 MP'!S4</f>
        <v>17</v>
      </c>
      <c r="CM2" s="197">
        <f>'RND 5 MP'!T4</f>
        <v>18</v>
      </c>
      <c r="CN2" s="272">
        <f>'RND 6 NET'!C4</f>
        <v>1</v>
      </c>
      <c r="CO2" s="272">
        <f>'RND 6 NET'!D4</f>
        <v>2</v>
      </c>
      <c r="CP2" s="272">
        <f>'RND 6 NET'!E4</f>
        <v>3</v>
      </c>
      <c r="CQ2" s="272">
        <f>'RND 6 NET'!F4</f>
        <v>4</v>
      </c>
      <c r="CR2" s="272">
        <f>'RND 6 NET'!G4</f>
        <v>5</v>
      </c>
      <c r="CS2" s="272">
        <f>'RND 6 NET'!H4</f>
        <v>6</v>
      </c>
      <c r="CT2" s="272">
        <f>'RND 6 NET'!I4</f>
        <v>7</v>
      </c>
      <c r="CU2" s="272">
        <f>'RND 6 NET'!J4</f>
        <v>8</v>
      </c>
      <c r="CV2" s="272">
        <f>'RND 6 NET'!K4</f>
        <v>9</v>
      </c>
      <c r="CW2" s="272">
        <f>'RND 6 NET'!L4</f>
        <v>10</v>
      </c>
      <c r="CX2" s="272">
        <f>'RND 6 NET'!M4</f>
        <v>11</v>
      </c>
      <c r="CY2" s="272">
        <f>'RND 6 NET'!N4</f>
        <v>12</v>
      </c>
      <c r="CZ2" s="272">
        <f>'RND 6 NET'!O4</f>
        <v>13</v>
      </c>
      <c r="DA2" s="272">
        <f>'RND 6 NET'!P4</f>
        <v>14</v>
      </c>
      <c r="DB2" s="272">
        <f>'RND 6 NET'!Q4</f>
        <v>15</v>
      </c>
      <c r="DC2" s="272">
        <f>'RND 6 NET'!R4</f>
        <v>16</v>
      </c>
      <c r="DD2" s="272">
        <f>'RND 6 NET'!S4</f>
        <v>17</v>
      </c>
      <c r="DE2" s="273">
        <f>'RND 6 NET'!T4</f>
        <v>18</v>
      </c>
    </row>
    <row r="3" spans="1:109" x14ac:dyDescent="0.2">
      <c r="B3" s="274">
        <f>'RND 1 STBL'!C5</f>
        <v>4</v>
      </c>
      <c r="C3" s="262">
        <f>'RND 1 STBL'!D5</f>
        <v>3</v>
      </c>
      <c r="D3" s="262">
        <f>'RND 1 STBL'!E5</f>
        <v>4</v>
      </c>
      <c r="E3" s="262">
        <f>'RND 1 STBL'!F5</f>
        <v>4</v>
      </c>
      <c r="F3" s="262">
        <f>'RND 1 STBL'!G5</f>
        <v>4</v>
      </c>
      <c r="G3" s="262">
        <f>'RND 1 STBL'!H5</f>
        <v>4</v>
      </c>
      <c r="H3" s="262">
        <f>'RND 1 STBL'!I5</f>
        <v>4</v>
      </c>
      <c r="I3" s="262">
        <f>'RND 1 STBL'!J5</f>
        <v>3</v>
      </c>
      <c r="J3" s="262">
        <f>'RND 1 STBL'!K5</f>
        <v>5</v>
      </c>
      <c r="K3" s="262">
        <f>'RND 1 STBL'!L5</f>
        <v>5</v>
      </c>
      <c r="L3" s="262">
        <f>'RND 1 STBL'!M5</f>
        <v>4</v>
      </c>
      <c r="M3" s="262">
        <f>'RND 1 STBL'!N5</f>
        <v>3</v>
      </c>
      <c r="N3" s="262">
        <f>'RND 1 STBL'!O5</f>
        <v>5</v>
      </c>
      <c r="O3" s="262">
        <f>'RND 1 STBL'!P5</f>
        <v>4</v>
      </c>
      <c r="P3" s="262">
        <f>'RND 1 STBL'!Q5</f>
        <v>5</v>
      </c>
      <c r="Q3" s="262">
        <f>'RND 1 STBL'!R5</f>
        <v>4</v>
      </c>
      <c r="R3" s="262">
        <f>'RND 1 STBL'!S5</f>
        <v>3</v>
      </c>
      <c r="S3" s="262">
        <f>'RND 1 STBL'!T5</f>
        <v>4</v>
      </c>
      <c r="T3" s="259">
        <f>'RND 2 MP'!C5</f>
        <v>4</v>
      </c>
      <c r="U3" s="259">
        <f>'RND 2 MP'!D5</f>
        <v>3</v>
      </c>
      <c r="V3" s="259">
        <f>'RND 2 MP'!E5</f>
        <v>4</v>
      </c>
      <c r="W3" s="259">
        <f>'RND 2 MP'!F5</f>
        <v>4</v>
      </c>
      <c r="X3" s="259">
        <f>'RND 2 MP'!G5</f>
        <v>4</v>
      </c>
      <c r="Y3" s="259">
        <f>'RND 2 MP'!H5</f>
        <v>5</v>
      </c>
      <c r="Z3" s="259">
        <f>'RND 2 MP'!I5</f>
        <v>3</v>
      </c>
      <c r="AA3" s="259">
        <f>'RND 2 MP'!J5</f>
        <v>4</v>
      </c>
      <c r="AB3" s="259">
        <f>'RND 2 MP'!K5</f>
        <v>5</v>
      </c>
      <c r="AC3" s="259">
        <f>'RND 2 MP'!L5</f>
        <v>4</v>
      </c>
      <c r="AD3" s="259">
        <f>'RND 2 MP'!M5</f>
        <v>5</v>
      </c>
      <c r="AE3" s="259">
        <f>'RND 2 MP'!N5</f>
        <v>4</v>
      </c>
      <c r="AF3" s="259">
        <f>'RND 2 MP'!O5</f>
        <v>4</v>
      </c>
      <c r="AG3" s="259">
        <f>'RND 2 MP'!P5</f>
        <v>3</v>
      </c>
      <c r="AH3" s="259">
        <f>'RND 2 MP'!Q5</f>
        <v>5</v>
      </c>
      <c r="AI3" s="259">
        <f>'RND 2 MP'!R5</f>
        <v>4</v>
      </c>
      <c r="AJ3" s="259">
        <f>'RND 2 MP'!S5</f>
        <v>3</v>
      </c>
      <c r="AK3" s="259">
        <f>'RND 2 MP'!T5</f>
        <v>4</v>
      </c>
      <c r="AL3" s="264">
        <f>'RND 3 MSTB'!C5</f>
        <v>4</v>
      </c>
      <c r="AM3" s="264">
        <f>'RND 3 MSTB'!D5</f>
        <v>5</v>
      </c>
      <c r="AN3" s="264">
        <f>'RND 3 MSTB'!E5</f>
        <v>3</v>
      </c>
      <c r="AO3" s="264">
        <f>'RND 3 MSTB'!F5</f>
        <v>5</v>
      </c>
      <c r="AP3" s="264">
        <f>'RND 3 MSTB'!G5</f>
        <v>4</v>
      </c>
      <c r="AQ3" s="264">
        <f>'RND 3 MSTB'!H5</f>
        <v>4</v>
      </c>
      <c r="AR3" s="264">
        <f>'RND 3 MSTB'!I5</f>
        <v>3</v>
      </c>
      <c r="AS3" s="264">
        <f>'RND 3 MSTB'!J5</f>
        <v>4</v>
      </c>
      <c r="AT3" s="264">
        <f>'RND 3 MSTB'!K5</f>
        <v>4</v>
      </c>
      <c r="AU3" s="264">
        <f>'RND 3 MSTB'!L5</f>
        <v>4</v>
      </c>
      <c r="AV3" s="264">
        <f>'RND 3 MSTB'!M5</f>
        <v>4</v>
      </c>
      <c r="AW3" s="264">
        <f>'RND 3 MSTB'!N5</f>
        <v>5</v>
      </c>
      <c r="AX3" s="264">
        <f>'RND 3 MSTB'!O5</f>
        <v>4</v>
      </c>
      <c r="AY3" s="264">
        <f>'RND 3 MSTB'!P5</f>
        <v>3</v>
      </c>
      <c r="AZ3" s="264">
        <f>'RND 3 MSTB'!Q5</f>
        <v>4</v>
      </c>
      <c r="BA3" s="264">
        <f>'RND 3 MSTB'!R5</f>
        <v>4</v>
      </c>
      <c r="BB3" s="264">
        <f>'RND 3 MSTB'!S5</f>
        <v>3</v>
      </c>
      <c r="BC3" s="264">
        <f>'RND 3 MSTB'!T5</f>
        <v>5</v>
      </c>
      <c r="BD3" s="265">
        <f>'RND 4 STBL'!C5</f>
        <v>3</v>
      </c>
      <c r="BE3" s="265">
        <f>'RND 4 STBL'!D5</f>
        <v>4</v>
      </c>
      <c r="BF3" s="265">
        <f>'RND 4 STBL'!E5</f>
        <v>5</v>
      </c>
      <c r="BG3" s="265">
        <f>'RND 4 STBL'!F5</f>
        <v>3</v>
      </c>
      <c r="BH3" s="265">
        <f>'RND 4 STBL'!G5</f>
        <v>4</v>
      </c>
      <c r="BI3" s="265">
        <f>'RND 4 STBL'!H5</f>
        <v>5</v>
      </c>
      <c r="BJ3" s="265">
        <f>'RND 4 STBL'!I5</f>
        <v>4</v>
      </c>
      <c r="BK3" s="265">
        <f>'RND 4 STBL'!J5</f>
        <v>4</v>
      </c>
      <c r="BL3" s="265">
        <f>'RND 4 STBL'!K5</f>
        <v>4</v>
      </c>
      <c r="BM3" s="265">
        <f>'RND 4 STBL'!L5</f>
        <v>3</v>
      </c>
      <c r="BN3" s="265">
        <f>'RND 4 STBL'!M5</f>
        <v>4</v>
      </c>
      <c r="BO3" s="265">
        <f>'RND 4 STBL'!N5</f>
        <v>5</v>
      </c>
      <c r="BP3" s="265">
        <f>'RND 4 STBL'!O5</f>
        <v>3</v>
      </c>
      <c r="BQ3" s="265">
        <f>'RND 4 STBL'!P5</f>
        <v>4</v>
      </c>
      <c r="BR3" s="265">
        <f>'RND 4 STBL'!Q5</f>
        <v>5</v>
      </c>
      <c r="BS3" s="265">
        <f>'RND 4 STBL'!R5</f>
        <v>4</v>
      </c>
      <c r="BT3" s="265">
        <f>'RND 4 STBL'!S5</f>
        <v>4</v>
      </c>
      <c r="BU3" s="265">
        <f>'RND 4 STBL'!T5</f>
        <v>4</v>
      </c>
      <c r="BV3" s="199">
        <f>'RND 5 MP'!C5</f>
        <v>3</v>
      </c>
      <c r="BW3" s="199">
        <f>'RND 5 MP'!D5</f>
        <v>4</v>
      </c>
      <c r="BX3" s="199">
        <f>'RND 5 MP'!E5</f>
        <v>5</v>
      </c>
      <c r="BY3" s="199">
        <f>'RND 5 MP'!F5</f>
        <v>3</v>
      </c>
      <c r="BZ3" s="199">
        <f>'RND 5 MP'!G5</f>
        <v>4</v>
      </c>
      <c r="CA3" s="199">
        <f>'RND 5 MP'!H5</f>
        <v>5</v>
      </c>
      <c r="CB3" s="199">
        <f>'RND 5 MP'!I5</f>
        <v>4</v>
      </c>
      <c r="CC3" s="199">
        <f>'RND 5 MP'!J5</f>
        <v>4</v>
      </c>
      <c r="CD3" s="199">
        <f>'RND 5 MP'!K5</f>
        <v>4</v>
      </c>
      <c r="CE3" s="199">
        <f>'RND 5 MP'!L5</f>
        <v>3</v>
      </c>
      <c r="CF3" s="199">
        <f>'RND 5 MP'!M5</f>
        <v>4</v>
      </c>
      <c r="CG3" s="199">
        <f>'RND 5 MP'!N5</f>
        <v>5</v>
      </c>
      <c r="CH3" s="199">
        <f>'RND 5 MP'!O5</f>
        <v>3</v>
      </c>
      <c r="CI3" s="199">
        <f>'RND 5 MP'!P5</f>
        <v>4</v>
      </c>
      <c r="CJ3" s="199">
        <f>'RND 5 MP'!Q5</f>
        <v>5</v>
      </c>
      <c r="CK3" s="199">
        <f>'RND 5 MP'!R5</f>
        <v>4</v>
      </c>
      <c r="CL3" s="199">
        <f>'RND 5 MP'!S5</f>
        <v>4</v>
      </c>
      <c r="CM3" s="199">
        <f>'RND 5 MP'!T5</f>
        <v>4</v>
      </c>
      <c r="CN3" s="266">
        <f>'RND 6 NET'!C5</f>
        <v>4</v>
      </c>
      <c r="CO3" s="266">
        <f>'RND 6 NET'!D5</f>
        <v>5</v>
      </c>
      <c r="CP3" s="266">
        <f>'RND 6 NET'!E5</f>
        <v>3</v>
      </c>
      <c r="CQ3" s="266">
        <f>'RND 6 NET'!F5</f>
        <v>5</v>
      </c>
      <c r="CR3" s="266">
        <f>'RND 6 NET'!G5</f>
        <v>4</v>
      </c>
      <c r="CS3" s="266">
        <f>'RND 6 NET'!H5</f>
        <v>4</v>
      </c>
      <c r="CT3" s="266">
        <f>'RND 6 NET'!I5</f>
        <v>3</v>
      </c>
      <c r="CU3" s="266">
        <f>'RND 6 NET'!J5</f>
        <v>4</v>
      </c>
      <c r="CV3" s="266">
        <f>'RND 6 NET'!K5</f>
        <v>4</v>
      </c>
      <c r="CW3" s="266">
        <f>'RND 6 NET'!L5</f>
        <v>4</v>
      </c>
      <c r="CX3" s="266">
        <f>'RND 6 NET'!M5</f>
        <v>4</v>
      </c>
      <c r="CY3" s="266">
        <f>'RND 6 NET'!N5</f>
        <v>5</v>
      </c>
      <c r="CZ3" s="266">
        <f>'RND 6 NET'!O5</f>
        <v>4</v>
      </c>
      <c r="DA3" s="266">
        <f>'RND 6 NET'!P5</f>
        <v>3</v>
      </c>
      <c r="DB3" s="266">
        <f>'RND 6 NET'!Q5</f>
        <v>4</v>
      </c>
      <c r="DC3" s="266">
        <f>'RND 6 NET'!R5</f>
        <v>4</v>
      </c>
      <c r="DD3" s="266">
        <f>'RND 6 NET'!S5</f>
        <v>3</v>
      </c>
      <c r="DE3" s="275">
        <f>'RND 6 NET'!T5</f>
        <v>5</v>
      </c>
    </row>
    <row r="4" spans="1:109" x14ac:dyDescent="0.2">
      <c r="B4" s="276">
        <f>'RND 1 STBL'!C6</f>
        <v>9</v>
      </c>
      <c r="C4" s="277">
        <f>'RND 1 STBL'!D6</f>
        <v>13</v>
      </c>
      <c r="D4" s="277">
        <f>'RND 1 STBL'!E6</f>
        <v>5</v>
      </c>
      <c r="E4" s="277">
        <f>'RND 1 STBL'!F6</f>
        <v>1</v>
      </c>
      <c r="F4" s="277">
        <f>'RND 1 STBL'!G6</f>
        <v>11</v>
      </c>
      <c r="G4" s="277">
        <f>'RND 1 STBL'!H6</f>
        <v>15</v>
      </c>
      <c r="H4" s="277">
        <f>'RND 1 STBL'!I6</f>
        <v>7</v>
      </c>
      <c r="I4" s="277">
        <f>'RND 1 STBL'!J6</f>
        <v>17</v>
      </c>
      <c r="J4" s="277">
        <f>'RND 1 STBL'!K6</f>
        <v>3</v>
      </c>
      <c r="K4" s="277">
        <f>'RND 1 STBL'!L6</f>
        <v>4</v>
      </c>
      <c r="L4" s="277">
        <f>'RND 1 STBL'!M6</f>
        <v>14</v>
      </c>
      <c r="M4" s="277">
        <f>'RND 1 STBL'!N6</f>
        <v>16</v>
      </c>
      <c r="N4" s="277">
        <f>'RND 1 STBL'!O6</f>
        <v>10</v>
      </c>
      <c r="O4" s="277">
        <f>'RND 1 STBL'!P6</f>
        <v>6</v>
      </c>
      <c r="P4" s="277">
        <f>'RND 1 STBL'!Q6</f>
        <v>8</v>
      </c>
      <c r="Q4" s="277">
        <f>'RND 1 STBL'!R6</f>
        <v>12</v>
      </c>
      <c r="R4" s="277">
        <f>'RND 1 STBL'!S6</f>
        <v>18</v>
      </c>
      <c r="S4" s="277">
        <f>'RND 1 STBL'!T6</f>
        <v>2</v>
      </c>
      <c r="T4" s="278">
        <f>'RND 2 MP'!C6</f>
        <v>16</v>
      </c>
      <c r="U4" s="278">
        <f>'RND 2 MP'!D6</f>
        <v>8</v>
      </c>
      <c r="V4" s="278">
        <f>'RND 2 MP'!E6</f>
        <v>2</v>
      </c>
      <c r="W4" s="278">
        <f>'RND 2 MP'!F6</f>
        <v>18</v>
      </c>
      <c r="X4" s="278">
        <f>'RND 2 MP'!G6</f>
        <v>4</v>
      </c>
      <c r="Y4" s="278">
        <f>'RND 2 MP'!H6</f>
        <v>12</v>
      </c>
      <c r="Z4" s="278">
        <f>'RND 2 MP'!I6</f>
        <v>6</v>
      </c>
      <c r="AA4" s="278">
        <f>'RND 2 MP'!J6</f>
        <v>10</v>
      </c>
      <c r="AB4" s="278">
        <f>'RND 2 MP'!K6</f>
        <v>14</v>
      </c>
      <c r="AC4" s="278">
        <f>'RND 2 MP'!L6</f>
        <v>11</v>
      </c>
      <c r="AD4" s="278">
        <f>'RND 2 MP'!M6</f>
        <v>1</v>
      </c>
      <c r="AE4" s="278">
        <f>'RND 2 MP'!N6</f>
        <v>5</v>
      </c>
      <c r="AF4" s="278">
        <f>'RND 2 MP'!O6</f>
        <v>15</v>
      </c>
      <c r="AG4" s="278">
        <f>'RND 2 MP'!P6</f>
        <v>13</v>
      </c>
      <c r="AH4" s="278">
        <f>'RND 2 MP'!Q6</f>
        <v>7</v>
      </c>
      <c r="AI4" s="278">
        <f>'RND 2 MP'!R6</f>
        <v>17</v>
      </c>
      <c r="AJ4" s="278">
        <f>'RND 2 MP'!S6</f>
        <v>3</v>
      </c>
      <c r="AK4" s="278">
        <f>'RND 2 MP'!T6</f>
        <v>9</v>
      </c>
      <c r="AL4" s="279">
        <f>'RND 3 MSTB'!C6</f>
        <v>9</v>
      </c>
      <c r="AM4" s="279">
        <f>'RND 3 MSTB'!D6</f>
        <v>5</v>
      </c>
      <c r="AN4" s="279">
        <f>'RND 3 MSTB'!E6</f>
        <v>15</v>
      </c>
      <c r="AO4" s="279">
        <f>'RND 3 MSTB'!F6</f>
        <v>11</v>
      </c>
      <c r="AP4" s="279">
        <f>'RND 3 MSTB'!G6</f>
        <v>3</v>
      </c>
      <c r="AQ4" s="279">
        <f>'RND 3 MSTB'!H6</f>
        <v>1</v>
      </c>
      <c r="AR4" s="279">
        <f>'RND 3 MSTB'!I6</f>
        <v>17</v>
      </c>
      <c r="AS4" s="279">
        <f>'RND 3 MSTB'!J6</f>
        <v>13</v>
      </c>
      <c r="AT4" s="279">
        <f>'RND 3 MSTB'!K6</f>
        <v>7</v>
      </c>
      <c r="AU4" s="279">
        <f>'RND 3 MSTB'!L6</f>
        <v>8</v>
      </c>
      <c r="AV4" s="279">
        <f>'RND 3 MSTB'!M6</f>
        <v>14</v>
      </c>
      <c r="AW4" s="279">
        <f>'RND 3 MSTB'!N6</f>
        <v>10</v>
      </c>
      <c r="AX4" s="279">
        <f>'RND 3 MSTB'!O6</f>
        <v>2</v>
      </c>
      <c r="AY4" s="279">
        <f>'RND 3 MSTB'!P6</f>
        <v>6</v>
      </c>
      <c r="AZ4" s="279">
        <f>'RND 3 MSTB'!Q6</f>
        <v>12</v>
      </c>
      <c r="BA4" s="279">
        <f>'RND 3 MSTB'!R6</f>
        <v>16</v>
      </c>
      <c r="BB4" s="279">
        <f>'RND 3 MSTB'!S6</f>
        <v>18</v>
      </c>
      <c r="BC4" s="279">
        <f>'RND 3 MSTB'!T6</f>
        <v>4</v>
      </c>
      <c r="BD4" s="280">
        <f>'RND 4 STBL'!C6</f>
        <v>5</v>
      </c>
      <c r="BE4" s="280">
        <f>'RND 4 STBL'!D6</f>
        <v>3</v>
      </c>
      <c r="BF4" s="280">
        <f>'RND 4 STBL'!E6</f>
        <v>1</v>
      </c>
      <c r="BG4" s="280">
        <f>'RND 4 STBL'!F6</f>
        <v>11</v>
      </c>
      <c r="BH4" s="280">
        <f>'RND 4 STBL'!G6</f>
        <v>9</v>
      </c>
      <c r="BI4" s="280">
        <f>'RND 4 STBL'!H6</f>
        <v>17</v>
      </c>
      <c r="BJ4" s="280">
        <f>'RND 4 STBL'!I6</f>
        <v>13</v>
      </c>
      <c r="BK4" s="280">
        <f>'RND 4 STBL'!J6</f>
        <v>15</v>
      </c>
      <c r="BL4" s="280">
        <f>'RND 4 STBL'!K6</f>
        <v>7</v>
      </c>
      <c r="BM4" s="280">
        <f>'RND 4 STBL'!L6</f>
        <v>18</v>
      </c>
      <c r="BN4" s="280">
        <f>'RND 4 STBL'!M6</f>
        <v>16</v>
      </c>
      <c r="BO4" s="280">
        <f>'RND 4 STBL'!N6</f>
        <v>6</v>
      </c>
      <c r="BP4" s="280">
        <f>'RND 4 STBL'!O6</f>
        <v>8</v>
      </c>
      <c r="BQ4" s="280">
        <f>'RND 4 STBL'!P6</f>
        <v>10</v>
      </c>
      <c r="BR4" s="280">
        <f>'RND 4 STBL'!Q6</f>
        <v>12</v>
      </c>
      <c r="BS4" s="280">
        <f>'RND 4 STBL'!R6</f>
        <v>14</v>
      </c>
      <c r="BT4" s="280">
        <f>'RND 4 STBL'!S6</f>
        <v>4</v>
      </c>
      <c r="BU4" s="280">
        <f>'RND 4 STBL'!T6</f>
        <v>2</v>
      </c>
      <c r="BV4" s="203">
        <f>'RND 5 MP'!C6</f>
        <v>5</v>
      </c>
      <c r="BW4" s="203">
        <f>'RND 5 MP'!D6</f>
        <v>3</v>
      </c>
      <c r="BX4" s="203">
        <f>'RND 5 MP'!E6</f>
        <v>1</v>
      </c>
      <c r="BY4" s="203">
        <f>'RND 5 MP'!F6</f>
        <v>11</v>
      </c>
      <c r="BZ4" s="203">
        <f>'RND 5 MP'!G6</f>
        <v>9</v>
      </c>
      <c r="CA4" s="203">
        <f>'RND 5 MP'!H6</f>
        <v>17</v>
      </c>
      <c r="CB4" s="203">
        <f>'RND 5 MP'!I6</f>
        <v>13</v>
      </c>
      <c r="CC4" s="203">
        <f>'RND 5 MP'!J6</f>
        <v>15</v>
      </c>
      <c r="CD4" s="203">
        <f>'RND 5 MP'!K6</f>
        <v>7</v>
      </c>
      <c r="CE4" s="203">
        <f>'RND 5 MP'!L6</f>
        <v>18</v>
      </c>
      <c r="CF4" s="203">
        <f>'RND 5 MP'!M6</f>
        <v>16</v>
      </c>
      <c r="CG4" s="203">
        <f>'RND 5 MP'!N6</f>
        <v>6</v>
      </c>
      <c r="CH4" s="203">
        <f>'RND 5 MP'!O6</f>
        <v>8</v>
      </c>
      <c r="CI4" s="203">
        <f>'RND 5 MP'!P6</f>
        <v>10</v>
      </c>
      <c r="CJ4" s="203">
        <f>'RND 5 MP'!Q6</f>
        <v>12</v>
      </c>
      <c r="CK4" s="203">
        <f>'RND 5 MP'!R6</f>
        <v>14</v>
      </c>
      <c r="CL4" s="203">
        <f>'RND 5 MP'!S6</f>
        <v>4</v>
      </c>
      <c r="CM4" s="203">
        <f>'RND 5 MP'!T6</f>
        <v>2</v>
      </c>
      <c r="CN4" s="281">
        <f>'RND 6 NET'!C6</f>
        <v>9</v>
      </c>
      <c r="CO4" s="281">
        <f>'RND 6 NET'!D6</f>
        <v>5</v>
      </c>
      <c r="CP4" s="281">
        <f>'RND 6 NET'!E6</f>
        <v>15</v>
      </c>
      <c r="CQ4" s="281">
        <f>'RND 6 NET'!F6</f>
        <v>11</v>
      </c>
      <c r="CR4" s="281">
        <f>'RND 6 NET'!G6</f>
        <v>3</v>
      </c>
      <c r="CS4" s="281">
        <f>'RND 6 NET'!H6</f>
        <v>1</v>
      </c>
      <c r="CT4" s="281">
        <f>'RND 6 NET'!I6</f>
        <v>17</v>
      </c>
      <c r="CU4" s="281">
        <f>'RND 6 NET'!J6</f>
        <v>13</v>
      </c>
      <c r="CV4" s="281">
        <f>'RND 6 NET'!K6</f>
        <v>7</v>
      </c>
      <c r="CW4" s="281">
        <f>'RND 6 NET'!L6</f>
        <v>8</v>
      </c>
      <c r="CX4" s="281">
        <f>'RND 6 NET'!M6</f>
        <v>14</v>
      </c>
      <c r="CY4" s="281">
        <f>'RND 6 NET'!N6</f>
        <v>10</v>
      </c>
      <c r="CZ4" s="281">
        <f>'RND 6 NET'!O6</f>
        <v>2</v>
      </c>
      <c r="DA4" s="281">
        <f>'RND 6 NET'!P6</f>
        <v>6</v>
      </c>
      <c r="DB4" s="281">
        <f>'RND 6 NET'!Q6</f>
        <v>12</v>
      </c>
      <c r="DC4" s="281">
        <f>'RND 6 NET'!R6</f>
        <v>16</v>
      </c>
      <c r="DD4" s="281">
        <f>'RND 6 NET'!S6</f>
        <v>18</v>
      </c>
      <c r="DE4" s="282">
        <f>'RND 6 NET'!T6</f>
        <v>4</v>
      </c>
    </row>
    <row r="5" spans="1:109" x14ac:dyDescent="0.2">
      <c r="A5" t="str">
        <f>'RND 6 NET'!A7</f>
        <v>BELLIS</v>
      </c>
      <c r="B5" s="262">
        <f>'RND 1 STBL'!C7</f>
        <v>5</v>
      </c>
      <c r="C5" s="262">
        <f>'RND 1 STBL'!D7</f>
        <v>5</v>
      </c>
      <c r="D5" s="262">
        <f>'RND 1 STBL'!E7</f>
        <v>5</v>
      </c>
      <c r="E5" s="262">
        <f>'RND 1 STBL'!F7</f>
        <v>5</v>
      </c>
      <c r="F5" s="262">
        <f>'RND 1 STBL'!G7</f>
        <v>5</v>
      </c>
      <c r="G5" s="262">
        <f>'RND 1 STBL'!H7</f>
        <v>5</v>
      </c>
      <c r="H5" s="262">
        <f>'RND 1 STBL'!I7</f>
        <v>5</v>
      </c>
      <c r="I5" s="262">
        <f>'RND 1 STBL'!J7</f>
        <v>5</v>
      </c>
      <c r="J5" s="262">
        <f>'RND 1 STBL'!K7</f>
        <v>5</v>
      </c>
      <c r="K5" s="262">
        <f>'RND 1 STBL'!L7</f>
        <v>5</v>
      </c>
      <c r="L5" s="262">
        <f>'RND 1 STBL'!M7</f>
        <v>5</v>
      </c>
      <c r="M5" s="262">
        <f>'RND 1 STBL'!N7</f>
        <v>5</v>
      </c>
      <c r="N5" s="262">
        <f>'RND 1 STBL'!O7</f>
        <v>5</v>
      </c>
      <c r="O5" s="262">
        <f>'RND 1 STBL'!P7</f>
        <v>5</v>
      </c>
      <c r="P5" s="262">
        <f>'RND 1 STBL'!Q7</f>
        <v>5</v>
      </c>
      <c r="Q5" s="262">
        <f>'RND 1 STBL'!R7</f>
        <v>5</v>
      </c>
      <c r="R5" s="262">
        <f>'RND 1 STBL'!S7</f>
        <v>5</v>
      </c>
      <c r="S5" s="262">
        <f>'RND 1 STBL'!T7</f>
        <v>5</v>
      </c>
      <c r="T5" s="259">
        <f>'RND 2 MP'!C7</f>
        <v>8</v>
      </c>
      <c r="U5" s="259">
        <f>'RND 2 MP'!D7</f>
        <v>2</v>
      </c>
      <c r="V5" s="259">
        <f>'RND 2 MP'!E7</f>
        <v>8</v>
      </c>
      <c r="W5" s="259">
        <f>'RND 2 MP'!F7</f>
        <v>8</v>
      </c>
      <c r="X5" s="259">
        <f>'RND 2 MP'!G7</f>
        <v>8</v>
      </c>
      <c r="Y5" s="259">
        <f>'RND 2 MP'!H7</f>
        <v>8</v>
      </c>
      <c r="Z5" s="259">
        <f>'RND 2 MP'!I7</f>
        <v>8</v>
      </c>
      <c r="AA5" s="259">
        <f>'RND 2 MP'!J7</f>
        <v>8</v>
      </c>
      <c r="AB5" s="259">
        <f>'RND 2 MP'!K7</f>
        <v>2</v>
      </c>
      <c r="AC5" s="259">
        <f>'RND 2 MP'!L7</f>
        <v>8</v>
      </c>
      <c r="AD5" s="259">
        <f>'RND 2 MP'!M7</f>
        <v>8</v>
      </c>
      <c r="AE5" s="259">
        <f>'RND 2 MP'!N7</f>
        <v>8</v>
      </c>
      <c r="AF5" s="259">
        <f>'RND 2 MP'!O7</f>
        <v>8</v>
      </c>
      <c r="AG5" s="259">
        <f>'RND 2 MP'!P7</f>
        <v>8</v>
      </c>
      <c r="AH5" s="259">
        <f>'RND 2 MP'!Q7</f>
        <v>8</v>
      </c>
      <c r="AI5" s="259">
        <f>'RND 2 MP'!R7</f>
        <v>8</v>
      </c>
      <c r="AJ5" s="259">
        <f>'RND 2 MP'!S7</f>
        <v>8</v>
      </c>
      <c r="AK5" s="259">
        <f>'RND 2 MP'!T7</f>
        <v>9</v>
      </c>
      <c r="AL5" s="264">
        <f>'RND 3 MSTB'!C7</f>
        <v>5</v>
      </c>
      <c r="AM5" s="264">
        <f>'RND 3 MSTB'!D7</f>
        <v>5</v>
      </c>
      <c r="AN5" s="264">
        <f>'RND 3 MSTB'!E7</f>
        <v>5</v>
      </c>
      <c r="AO5" s="264">
        <f>'RND 3 MSTB'!F7</f>
        <v>5</v>
      </c>
      <c r="AP5" s="264">
        <f>'RND 3 MSTB'!G7</f>
        <v>5</v>
      </c>
      <c r="AQ5" s="264">
        <f>'RND 3 MSTB'!H7</f>
        <v>5</v>
      </c>
      <c r="AR5" s="264">
        <f>'RND 3 MSTB'!I7</f>
        <v>5</v>
      </c>
      <c r="AS5" s="264">
        <f>'RND 3 MSTB'!J7</f>
        <v>5</v>
      </c>
      <c r="AT5" s="264">
        <f>'RND 3 MSTB'!K7</f>
        <v>5</v>
      </c>
      <c r="AU5" s="264">
        <f>'RND 3 MSTB'!L7</f>
        <v>5</v>
      </c>
      <c r="AV5" s="264">
        <f>'RND 3 MSTB'!M7</f>
        <v>5</v>
      </c>
      <c r="AW5" s="264">
        <f>'RND 3 MSTB'!N7</f>
        <v>5</v>
      </c>
      <c r="AX5" s="264">
        <f>'RND 3 MSTB'!O7</f>
        <v>5</v>
      </c>
      <c r="AY5" s="264">
        <f>'RND 3 MSTB'!P7</f>
        <v>5</v>
      </c>
      <c r="AZ5" s="264">
        <f>'RND 3 MSTB'!Q7</f>
        <v>5</v>
      </c>
      <c r="BA5" s="264">
        <f>'RND 3 MSTB'!R7</f>
        <v>5</v>
      </c>
      <c r="BB5" s="264">
        <f>'RND 3 MSTB'!S7</f>
        <v>5</v>
      </c>
      <c r="BC5" s="264">
        <f>'RND 3 MSTB'!T7</f>
        <v>5</v>
      </c>
      <c r="BD5" s="265">
        <f>'RND 4 STBL'!C7</f>
        <v>4</v>
      </c>
      <c r="BE5" s="265">
        <f>'RND 4 STBL'!D7</f>
        <v>5</v>
      </c>
      <c r="BF5" s="265">
        <f>'RND 4 STBL'!E7</f>
        <v>5</v>
      </c>
      <c r="BG5" s="265">
        <f>'RND 4 STBL'!F7</f>
        <v>5</v>
      </c>
      <c r="BH5" s="265">
        <f>'RND 4 STBL'!G7</f>
        <v>5</v>
      </c>
      <c r="BI5" s="265">
        <f>'RND 4 STBL'!H7</f>
        <v>5</v>
      </c>
      <c r="BJ5" s="265">
        <f>'RND 4 STBL'!I7</f>
        <v>5</v>
      </c>
      <c r="BK5" s="265">
        <f>'RND 4 STBL'!J7</f>
        <v>5</v>
      </c>
      <c r="BL5" s="265">
        <f>'RND 4 STBL'!K7</f>
        <v>5</v>
      </c>
      <c r="BM5" s="265">
        <f>'RND 4 STBL'!L7</f>
        <v>5</v>
      </c>
      <c r="BN5" s="265">
        <f>'RND 4 STBL'!M7</f>
        <v>5</v>
      </c>
      <c r="BO5" s="265">
        <f>'RND 4 STBL'!N7</f>
        <v>5</v>
      </c>
      <c r="BP5" s="265">
        <f>'RND 4 STBL'!O7</f>
        <v>5</v>
      </c>
      <c r="BQ5" s="265">
        <f>'RND 4 STBL'!P7</f>
        <v>5</v>
      </c>
      <c r="BR5" s="265">
        <f>'RND 4 STBL'!Q7</f>
        <v>5</v>
      </c>
      <c r="BS5" s="265">
        <f>'RND 4 STBL'!R7</f>
        <v>5</v>
      </c>
      <c r="BT5" s="265">
        <f>'RND 4 STBL'!S7</f>
        <v>5</v>
      </c>
      <c r="BU5" s="265">
        <f>'RND 4 STBL'!T7</f>
        <v>5</v>
      </c>
      <c r="BV5" s="199">
        <f>'RND 5 MP'!C7</f>
        <v>8</v>
      </c>
      <c r="BW5" s="199">
        <f>'RND 5 MP'!D7</f>
        <v>2</v>
      </c>
      <c r="BX5" s="199">
        <f>'RND 5 MP'!E7</f>
        <v>8</v>
      </c>
      <c r="BY5" s="199">
        <f>'RND 5 MP'!F7</f>
        <v>8</v>
      </c>
      <c r="BZ5" s="199">
        <f>'RND 5 MP'!G7</f>
        <v>8</v>
      </c>
      <c r="CA5" s="199">
        <f>'RND 5 MP'!H7</f>
        <v>8</v>
      </c>
      <c r="CB5" s="199">
        <f>'RND 5 MP'!I7</f>
        <v>8</v>
      </c>
      <c r="CC5" s="199">
        <f>'RND 5 MP'!J7</f>
        <v>8</v>
      </c>
      <c r="CD5" s="199">
        <f>'RND 5 MP'!K7</f>
        <v>2</v>
      </c>
      <c r="CE5" s="199">
        <f>'RND 5 MP'!L7</f>
        <v>8</v>
      </c>
      <c r="CF5" s="199">
        <f>'RND 5 MP'!M7</f>
        <v>8</v>
      </c>
      <c r="CG5" s="199">
        <f>'RND 5 MP'!N7</f>
        <v>8</v>
      </c>
      <c r="CH5" s="199">
        <f>'RND 5 MP'!O7</f>
        <v>8</v>
      </c>
      <c r="CI5" s="199">
        <f>'RND 5 MP'!P7</f>
        <v>8</v>
      </c>
      <c r="CJ5" s="199">
        <f>'RND 5 MP'!Q7</f>
        <v>8</v>
      </c>
      <c r="CK5" s="199">
        <f>'RND 5 MP'!R7</f>
        <v>8</v>
      </c>
      <c r="CL5" s="199">
        <f>'RND 5 MP'!S7</f>
        <v>8</v>
      </c>
      <c r="CM5" s="199">
        <f>'RND 5 MP'!T7</f>
        <v>9</v>
      </c>
      <c r="CN5" s="266">
        <f>'RND 6 NET'!C7</f>
        <v>7</v>
      </c>
      <c r="CO5" s="266">
        <f>'RND 6 NET'!D7</f>
        <v>0</v>
      </c>
      <c r="CP5" s="266">
        <f>'RND 6 NET'!E7</f>
        <v>0</v>
      </c>
      <c r="CQ5" s="266">
        <f>'RND 6 NET'!F7</f>
        <v>0</v>
      </c>
      <c r="CR5" s="266">
        <f>'RND 6 NET'!G7</f>
        <v>0</v>
      </c>
      <c r="CS5" s="266">
        <f>'RND 6 NET'!H7</f>
        <v>0</v>
      </c>
      <c r="CT5" s="266">
        <f>'RND 6 NET'!I7</f>
        <v>0</v>
      </c>
      <c r="CU5" s="266">
        <f>'RND 6 NET'!J7</f>
        <v>0</v>
      </c>
      <c r="CV5" s="266">
        <f>'RND 6 NET'!K7</f>
        <v>0</v>
      </c>
      <c r="CW5" s="266">
        <f>'RND 6 NET'!L7</f>
        <v>0</v>
      </c>
      <c r="CX5" s="266">
        <f>'RND 6 NET'!M7</f>
        <v>0</v>
      </c>
      <c r="CY5" s="266">
        <f>'RND 6 NET'!N7</f>
        <v>0</v>
      </c>
      <c r="CZ5" s="266">
        <f>'RND 6 NET'!O7</f>
        <v>0</v>
      </c>
      <c r="DA5" s="266">
        <f>'RND 6 NET'!P7</f>
        <v>0</v>
      </c>
      <c r="DB5" s="266">
        <f>'RND 6 NET'!Q7</f>
        <v>0</v>
      </c>
      <c r="DC5" s="266">
        <f>'RND 6 NET'!R7</f>
        <v>0</v>
      </c>
      <c r="DD5" s="266">
        <f>'RND 6 NET'!S7</f>
        <v>0</v>
      </c>
      <c r="DE5" s="266">
        <f>'RND 6 NET'!T7</f>
        <v>0</v>
      </c>
    </row>
    <row r="6" spans="1:109" x14ac:dyDescent="0.2">
      <c r="A6" t="str">
        <f>'RND 6 NET'!A8</f>
        <v>DEY</v>
      </c>
      <c r="B6" s="262">
        <f>'RND 1 STBL'!C8</f>
        <v>5</v>
      </c>
      <c r="C6" s="262">
        <f>'RND 1 STBL'!D8</f>
        <v>9</v>
      </c>
      <c r="D6" s="262">
        <f>'RND 1 STBL'!E8</f>
        <v>6</v>
      </c>
      <c r="E6" s="262">
        <f>'RND 1 STBL'!F8</f>
        <v>9</v>
      </c>
      <c r="F6" s="262">
        <f>'RND 1 STBL'!G8</f>
        <v>6</v>
      </c>
      <c r="G6" s="262">
        <f>'RND 1 STBL'!H8</f>
        <v>9</v>
      </c>
      <c r="H6" s="262">
        <f>'RND 1 STBL'!I8</f>
        <v>6</v>
      </c>
      <c r="I6" s="262">
        <f>'RND 1 STBL'!J8</f>
        <v>9</v>
      </c>
      <c r="J6" s="262">
        <f>'RND 1 STBL'!K8</f>
        <v>0</v>
      </c>
      <c r="K6" s="262">
        <f>'RND 1 STBL'!L8</f>
        <v>0</v>
      </c>
      <c r="L6" s="262">
        <f>'RND 1 STBL'!M8</f>
        <v>0</v>
      </c>
      <c r="M6" s="262">
        <f>'RND 1 STBL'!N8</f>
        <v>0</v>
      </c>
      <c r="N6" s="262">
        <f>'RND 1 STBL'!O8</f>
        <v>0</v>
      </c>
      <c r="O6" s="262">
        <f>'RND 1 STBL'!P8</f>
        <v>0</v>
      </c>
      <c r="P6" s="262">
        <f>'RND 1 STBL'!Q8</f>
        <v>0</v>
      </c>
      <c r="Q6" s="262">
        <f>'RND 1 STBL'!R8</f>
        <v>0</v>
      </c>
      <c r="R6" s="262">
        <f>'RND 1 STBL'!S8</f>
        <v>0</v>
      </c>
      <c r="S6" s="262">
        <f>'RND 1 STBL'!T8</f>
        <v>0</v>
      </c>
      <c r="T6" s="259">
        <f>'RND 2 MP'!C8</f>
        <v>7</v>
      </c>
      <c r="U6" s="259">
        <f>'RND 2 MP'!D8</f>
        <v>7</v>
      </c>
      <c r="V6" s="259">
        <f>'RND 2 MP'!E8</f>
        <v>7</v>
      </c>
      <c r="W6" s="259">
        <f>'RND 2 MP'!F8</f>
        <v>7</v>
      </c>
      <c r="X6" s="259">
        <f>'RND 2 MP'!G8</f>
        <v>7</v>
      </c>
      <c r="Y6" s="259">
        <f>'RND 2 MP'!H8</f>
        <v>1</v>
      </c>
      <c r="Z6" s="259">
        <f>'RND 2 MP'!I8</f>
        <v>1</v>
      </c>
      <c r="AA6" s="259">
        <f>'RND 2 MP'!J8</f>
        <v>1</v>
      </c>
      <c r="AB6" s="259">
        <f>'RND 2 MP'!K8</f>
        <v>9</v>
      </c>
      <c r="AC6" s="259">
        <f>'RND 2 MP'!L8</f>
        <v>9</v>
      </c>
      <c r="AD6" s="259">
        <f>'RND 2 MP'!M8</f>
        <v>9</v>
      </c>
      <c r="AE6" s="259">
        <f>'RND 2 MP'!N8</f>
        <v>9</v>
      </c>
      <c r="AF6" s="259">
        <f>'RND 2 MP'!O8</f>
        <v>9</v>
      </c>
      <c r="AG6" s="259">
        <f>'RND 2 MP'!P8</f>
        <v>9</v>
      </c>
      <c r="AH6" s="259">
        <f>'RND 2 MP'!Q8</f>
        <v>9</v>
      </c>
      <c r="AI6" s="259">
        <f>'RND 2 MP'!R8</f>
        <v>9</v>
      </c>
      <c r="AJ6" s="259">
        <f>'RND 2 MP'!S8</f>
        <v>9</v>
      </c>
      <c r="AK6" s="259">
        <f>'RND 2 MP'!T8</f>
        <v>9</v>
      </c>
      <c r="AL6" s="264">
        <f>'RND 3 MSTB'!C8</f>
        <v>5</v>
      </c>
      <c r="AM6" s="264">
        <f>'RND 3 MSTB'!D8</f>
        <v>5</v>
      </c>
      <c r="AN6" s="264">
        <f>'RND 3 MSTB'!E8</f>
        <v>5</v>
      </c>
      <c r="AO6" s="264">
        <f>'RND 3 MSTB'!F8</f>
        <v>5</v>
      </c>
      <c r="AP6" s="264">
        <f>'RND 3 MSTB'!G8</f>
        <v>5</v>
      </c>
      <c r="AQ6" s="264">
        <f>'RND 3 MSTB'!H8</f>
        <v>5</v>
      </c>
      <c r="AR6" s="264">
        <f>'RND 3 MSTB'!I8</f>
        <v>5</v>
      </c>
      <c r="AS6" s="264">
        <f>'RND 3 MSTB'!J8</f>
        <v>5</v>
      </c>
      <c r="AT6" s="264">
        <f>'RND 3 MSTB'!K8</f>
        <v>5</v>
      </c>
      <c r="AU6" s="264">
        <f>'RND 3 MSTB'!L8</f>
        <v>5</v>
      </c>
      <c r="AV6" s="264">
        <f>'RND 3 MSTB'!M8</f>
        <v>5</v>
      </c>
      <c r="AW6" s="264">
        <f>'RND 3 MSTB'!N8</f>
        <v>5</v>
      </c>
      <c r="AX6" s="264">
        <f>'RND 3 MSTB'!O8</f>
        <v>5</v>
      </c>
      <c r="AY6" s="264">
        <f>'RND 3 MSTB'!P8</f>
        <v>5</v>
      </c>
      <c r="AZ6" s="264">
        <f>'RND 3 MSTB'!Q8</f>
        <v>5</v>
      </c>
      <c r="BA6" s="264">
        <f>'RND 3 MSTB'!R8</f>
        <v>5</v>
      </c>
      <c r="BB6" s="264">
        <f>'RND 3 MSTB'!S8</f>
        <v>5</v>
      </c>
      <c r="BC6" s="264">
        <f>'RND 3 MSTB'!T8</f>
        <v>5</v>
      </c>
      <c r="BD6" s="265">
        <f>'RND 4 STBL'!C8</f>
        <v>5</v>
      </c>
      <c r="BE6" s="265">
        <f>'RND 4 STBL'!D8</f>
        <v>5</v>
      </c>
      <c r="BF6" s="265">
        <f>'RND 4 STBL'!E8</f>
        <v>5</v>
      </c>
      <c r="BG6" s="265">
        <f>'RND 4 STBL'!F8</f>
        <v>5</v>
      </c>
      <c r="BH6" s="265">
        <f>'RND 4 STBL'!G8</f>
        <v>5</v>
      </c>
      <c r="BI6" s="265">
        <f>'RND 4 STBL'!H8</f>
        <v>5</v>
      </c>
      <c r="BJ6" s="265">
        <f>'RND 4 STBL'!I8</f>
        <v>5</v>
      </c>
      <c r="BK6" s="265">
        <f>'RND 4 STBL'!J8</f>
        <v>5</v>
      </c>
      <c r="BL6" s="265">
        <f>'RND 4 STBL'!K8</f>
        <v>5</v>
      </c>
      <c r="BM6" s="265">
        <f>'RND 4 STBL'!L8</f>
        <v>5</v>
      </c>
      <c r="BN6" s="265">
        <f>'RND 4 STBL'!M8</f>
        <v>5</v>
      </c>
      <c r="BO6" s="265">
        <f>'RND 4 STBL'!N8</f>
        <v>5</v>
      </c>
      <c r="BP6" s="265">
        <f>'RND 4 STBL'!O8</f>
        <v>5</v>
      </c>
      <c r="BQ6" s="265">
        <f>'RND 4 STBL'!P8</f>
        <v>5</v>
      </c>
      <c r="BR6" s="265">
        <f>'RND 4 STBL'!Q8</f>
        <v>5</v>
      </c>
      <c r="BS6" s="265">
        <f>'RND 4 STBL'!R8</f>
        <v>5</v>
      </c>
      <c r="BT6" s="265">
        <f>'RND 4 STBL'!S8</f>
        <v>5</v>
      </c>
      <c r="BU6" s="265">
        <f>'RND 4 STBL'!T8</f>
        <v>5</v>
      </c>
      <c r="BV6" s="199">
        <f>'RND 5 MP'!C8</f>
        <v>1</v>
      </c>
      <c r="BW6" s="199">
        <f>'RND 5 MP'!D8</f>
        <v>1</v>
      </c>
      <c r="BX6" s="199">
        <f>'RND 5 MP'!E8</f>
        <v>1</v>
      </c>
      <c r="BY6" s="199">
        <f>'RND 5 MP'!F8</f>
        <v>1</v>
      </c>
      <c r="BZ6" s="199">
        <f>'RND 5 MP'!G8</f>
        <v>1</v>
      </c>
      <c r="CA6" s="199">
        <f>'RND 5 MP'!H8</f>
        <v>1</v>
      </c>
      <c r="CB6" s="199">
        <f>'RND 5 MP'!I8</f>
        <v>1</v>
      </c>
      <c r="CC6" s="199">
        <f>'RND 5 MP'!J8</f>
        <v>1</v>
      </c>
      <c r="CD6" s="199">
        <f>'RND 5 MP'!K8</f>
        <v>9</v>
      </c>
      <c r="CE6" s="199">
        <f>'RND 5 MP'!L8</f>
        <v>9</v>
      </c>
      <c r="CF6" s="199">
        <f>'RND 5 MP'!M8</f>
        <v>9</v>
      </c>
      <c r="CG6" s="199">
        <f>'RND 5 MP'!N8</f>
        <v>9</v>
      </c>
      <c r="CH6" s="199">
        <f>'RND 5 MP'!O8</f>
        <v>9</v>
      </c>
      <c r="CI6" s="199">
        <f>'RND 5 MP'!P8</f>
        <v>9</v>
      </c>
      <c r="CJ6" s="199">
        <f>'RND 5 MP'!Q8</f>
        <v>9</v>
      </c>
      <c r="CK6" s="199">
        <f>'RND 5 MP'!R8</f>
        <v>9</v>
      </c>
      <c r="CL6" s="199">
        <f>'RND 5 MP'!S8</f>
        <v>9</v>
      </c>
      <c r="CM6" s="199">
        <f>'RND 5 MP'!T8</f>
        <v>9</v>
      </c>
      <c r="CN6" s="266">
        <f>'RND 6 NET'!C8</f>
        <v>0</v>
      </c>
      <c r="CO6" s="266">
        <f>'RND 6 NET'!D8</f>
        <v>6</v>
      </c>
      <c r="CP6" s="266">
        <f>'RND 6 NET'!E8</f>
        <v>0</v>
      </c>
      <c r="CQ6" s="266">
        <f>'RND 6 NET'!F8</f>
        <v>0</v>
      </c>
      <c r="CR6" s="266">
        <f>'RND 6 NET'!G8</f>
        <v>0</v>
      </c>
      <c r="CS6" s="266">
        <f>'RND 6 NET'!H8</f>
        <v>0</v>
      </c>
      <c r="CT6" s="266">
        <f>'RND 6 NET'!I8</f>
        <v>0</v>
      </c>
      <c r="CU6" s="266">
        <f>'RND 6 NET'!J8</f>
        <v>0</v>
      </c>
      <c r="CV6" s="266">
        <f>'RND 6 NET'!K8</f>
        <v>0</v>
      </c>
      <c r="CW6" s="266">
        <f>'RND 6 NET'!L8</f>
        <v>0</v>
      </c>
      <c r="CX6" s="266">
        <f>'RND 6 NET'!M8</f>
        <v>0</v>
      </c>
      <c r="CY6" s="266">
        <f>'RND 6 NET'!N8</f>
        <v>0</v>
      </c>
      <c r="CZ6" s="266">
        <f>'RND 6 NET'!O8</f>
        <v>0</v>
      </c>
      <c r="DA6" s="266">
        <f>'RND 6 NET'!P8</f>
        <v>0</v>
      </c>
      <c r="DB6" s="266">
        <f>'RND 6 NET'!Q8</f>
        <v>0</v>
      </c>
      <c r="DC6" s="266">
        <f>'RND 6 NET'!R8</f>
        <v>0</v>
      </c>
      <c r="DD6" s="266">
        <f>'RND 6 NET'!S8</f>
        <v>0</v>
      </c>
      <c r="DE6" s="266">
        <f>'RND 6 NET'!T8</f>
        <v>0</v>
      </c>
    </row>
    <row r="7" spans="1:109" x14ac:dyDescent="0.2">
      <c r="A7" t="str">
        <f>'RND 6 NET'!A9</f>
        <v>DONOVAN</v>
      </c>
      <c r="B7" s="262">
        <f>'RND 1 STBL'!C9</f>
        <v>5</v>
      </c>
      <c r="C7" s="262">
        <f>'RND 1 STBL'!D9</f>
        <v>9</v>
      </c>
      <c r="D7" s="262">
        <f>'RND 1 STBL'!E9</f>
        <v>6</v>
      </c>
      <c r="E7" s="262">
        <f>'RND 1 STBL'!F9</f>
        <v>9</v>
      </c>
      <c r="F7" s="262">
        <f>'RND 1 STBL'!G9</f>
        <v>6</v>
      </c>
      <c r="G7" s="262">
        <f>'RND 1 STBL'!H9</f>
        <v>9</v>
      </c>
      <c r="H7" s="262">
        <f>'RND 1 STBL'!I9</f>
        <v>6</v>
      </c>
      <c r="I7" s="262">
        <f>'RND 1 STBL'!J9</f>
        <v>9</v>
      </c>
      <c r="J7" s="262">
        <f>'RND 1 STBL'!K9</f>
        <v>0</v>
      </c>
      <c r="K7" s="262">
        <f>'RND 1 STBL'!L9</f>
        <v>0</v>
      </c>
      <c r="L7" s="262">
        <f>'RND 1 STBL'!M9</f>
        <v>0</v>
      </c>
      <c r="M7" s="262">
        <f>'RND 1 STBL'!N9</f>
        <v>0</v>
      </c>
      <c r="N7" s="262">
        <f>'RND 1 STBL'!O9</f>
        <v>0</v>
      </c>
      <c r="O7" s="262">
        <f>'RND 1 STBL'!P9</f>
        <v>0</v>
      </c>
      <c r="P7" s="262">
        <f>'RND 1 STBL'!Q9</f>
        <v>0</v>
      </c>
      <c r="Q7" s="262">
        <f>'RND 1 STBL'!R9</f>
        <v>0</v>
      </c>
      <c r="R7" s="262">
        <f>'RND 1 STBL'!S9</f>
        <v>0</v>
      </c>
      <c r="S7" s="262">
        <f>'RND 1 STBL'!T9</f>
        <v>0</v>
      </c>
      <c r="T7" s="259">
        <f>'RND 2 MP'!C9</f>
        <v>4</v>
      </c>
      <c r="U7" s="259">
        <f>'RND 2 MP'!D9</f>
        <v>9</v>
      </c>
      <c r="V7" s="259">
        <f>'RND 2 MP'!E9</f>
        <v>3</v>
      </c>
      <c r="W7" s="259">
        <f>'RND 2 MP'!F9</f>
        <v>2</v>
      </c>
      <c r="X7" s="259">
        <f>'RND 2 MP'!G9</f>
        <v>4</v>
      </c>
      <c r="Y7" s="259">
        <f>'RND 2 MP'!H9</f>
        <v>4</v>
      </c>
      <c r="Z7" s="259">
        <f>'RND 2 MP'!I9</f>
        <v>4</v>
      </c>
      <c r="AA7" s="259">
        <f>'RND 2 MP'!J9</f>
        <v>4</v>
      </c>
      <c r="AB7" s="259">
        <f>'RND 2 MP'!K9</f>
        <v>4</v>
      </c>
      <c r="AC7" s="259">
        <f>'RND 2 MP'!L9</f>
        <v>4</v>
      </c>
      <c r="AD7" s="259">
        <f>'RND 2 MP'!M9</f>
        <v>4</v>
      </c>
      <c r="AE7" s="259">
        <f>'RND 2 MP'!N9</f>
        <v>4</v>
      </c>
      <c r="AF7" s="259">
        <f>'RND 2 MP'!O9</f>
        <v>4</v>
      </c>
      <c r="AG7" s="259">
        <f>'RND 2 MP'!P9</f>
        <v>4</v>
      </c>
      <c r="AH7" s="259">
        <f>'RND 2 MP'!Q9</f>
        <v>4</v>
      </c>
      <c r="AI7" s="259">
        <f>'RND 2 MP'!R9</f>
        <v>4</v>
      </c>
      <c r="AJ7" s="259">
        <f>'RND 2 MP'!S9</f>
        <v>4</v>
      </c>
      <c r="AK7" s="259">
        <f>'RND 2 MP'!T9</f>
        <v>8</v>
      </c>
      <c r="AL7" s="264">
        <f>'RND 3 MSTB'!C9</f>
        <v>5</v>
      </c>
      <c r="AM7" s="264">
        <f>'RND 3 MSTB'!D9</f>
        <v>5</v>
      </c>
      <c r="AN7" s="264">
        <f>'RND 3 MSTB'!E9</f>
        <v>5</v>
      </c>
      <c r="AO7" s="264">
        <f>'RND 3 MSTB'!F9</f>
        <v>5</v>
      </c>
      <c r="AP7" s="264">
        <f>'RND 3 MSTB'!G9</f>
        <v>5</v>
      </c>
      <c r="AQ7" s="264">
        <f>'RND 3 MSTB'!H9</f>
        <v>5</v>
      </c>
      <c r="AR7" s="264">
        <f>'RND 3 MSTB'!I9</f>
        <v>5</v>
      </c>
      <c r="AS7" s="264">
        <f>'RND 3 MSTB'!J9</f>
        <v>5</v>
      </c>
      <c r="AT7" s="264">
        <f>'RND 3 MSTB'!K9</f>
        <v>5</v>
      </c>
      <c r="AU7" s="264">
        <f>'RND 3 MSTB'!L9</f>
        <v>5</v>
      </c>
      <c r="AV7" s="264">
        <f>'RND 3 MSTB'!M9</f>
        <v>5</v>
      </c>
      <c r="AW7" s="264">
        <f>'RND 3 MSTB'!N9</f>
        <v>5</v>
      </c>
      <c r="AX7" s="264">
        <f>'RND 3 MSTB'!O9</f>
        <v>5</v>
      </c>
      <c r="AY7" s="264">
        <f>'RND 3 MSTB'!P9</f>
        <v>5</v>
      </c>
      <c r="AZ7" s="264">
        <f>'RND 3 MSTB'!Q9</f>
        <v>5</v>
      </c>
      <c r="BA7" s="264">
        <f>'RND 3 MSTB'!R9</f>
        <v>5</v>
      </c>
      <c r="BB7" s="264">
        <f>'RND 3 MSTB'!S9</f>
        <v>5</v>
      </c>
      <c r="BC7" s="264">
        <f>'RND 3 MSTB'!T9</f>
        <v>5</v>
      </c>
      <c r="BD7" s="265">
        <f>'RND 4 STBL'!C9</f>
        <v>6</v>
      </c>
      <c r="BE7" s="265">
        <f>'RND 4 STBL'!D9</f>
        <v>5</v>
      </c>
      <c r="BF7" s="265">
        <f>'RND 4 STBL'!E9</f>
        <v>5</v>
      </c>
      <c r="BG7" s="265">
        <f>'RND 4 STBL'!F9</f>
        <v>5</v>
      </c>
      <c r="BH7" s="265">
        <f>'RND 4 STBL'!G9</f>
        <v>5</v>
      </c>
      <c r="BI7" s="265">
        <f>'RND 4 STBL'!H9</f>
        <v>5</v>
      </c>
      <c r="BJ7" s="265">
        <f>'RND 4 STBL'!I9</f>
        <v>5</v>
      </c>
      <c r="BK7" s="265">
        <f>'RND 4 STBL'!J9</f>
        <v>5</v>
      </c>
      <c r="BL7" s="265">
        <f>'RND 4 STBL'!K9</f>
        <v>5</v>
      </c>
      <c r="BM7" s="265">
        <f>'RND 4 STBL'!L9</f>
        <v>5</v>
      </c>
      <c r="BN7" s="265">
        <f>'RND 4 STBL'!M9</f>
        <v>5</v>
      </c>
      <c r="BO7" s="265">
        <f>'RND 4 STBL'!N9</f>
        <v>5</v>
      </c>
      <c r="BP7" s="265">
        <f>'RND 4 STBL'!O9</f>
        <v>5</v>
      </c>
      <c r="BQ7" s="265">
        <f>'RND 4 STBL'!P9</f>
        <v>5</v>
      </c>
      <c r="BR7" s="265">
        <f>'RND 4 STBL'!Q9</f>
        <v>5</v>
      </c>
      <c r="BS7" s="265">
        <f>'RND 4 STBL'!R9</f>
        <v>5</v>
      </c>
      <c r="BT7" s="265">
        <f>'RND 4 STBL'!S9</f>
        <v>5</v>
      </c>
      <c r="BU7" s="265">
        <f>'RND 4 STBL'!T9</f>
        <v>5</v>
      </c>
      <c r="BV7" s="199">
        <f>'RND 5 MP'!C9</f>
        <v>4</v>
      </c>
      <c r="BW7" s="199">
        <f>'RND 5 MP'!D9</f>
        <v>9</v>
      </c>
      <c r="BX7" s="199">
        <f>'RND 5 MP'!E9</f>
        <v>3</v>
      </c>
      <c r="BY7" s="199">
        <f>'RND 5 MP'!F9</f>
        <v>2</v>
      </c>
      <c r="BZ7" s="199">
        <f>'RND 5 MP'!G9</f>
        <v>4</v>
      </c>
      <c r="CA7" s="199">
        <f>'RND 5 MP'!H9</f>
        <v>4</v>
      </c>
      <c r="CB7" s="199">
        <f>'RND 5 MP'!I9</f>
        <v>4</v>
      </c>
      <c r="CC7" s="199">
        <f>'RND 5 MP'!J9</f>
        <v>4</v>
      </c>
      <c r="CD7" s="199">
        <f>'RND 5 MP'!K9</f>
        <v>4</v>
      </c>
      <c r="CE7" s="199">
        <f>'RND 5 MP'!L9</f>
        <v>4</v>
      </c>
      <c r="CF7" s="199">
        <f>'RND 5 MP'!M9</f>
        <v>4</v>
      </c>
      <c r="CG7" s="199">
        <f>'RND 5 MP'!N9</f>
        <v>4</v>
      </c>
      <c r="CH7" s="199">
        <f>'RND 5 MP'!O9</f>
        <v>4</v>
      </c>
      <c r="CI7" s="199">
        <f>'RND 5 MP'!P9</f>
        <v>4</v>
      </c>
      <c r="CJ7" s="199">
        <f>'RND 5 MP'!Q9</f>
        <v>4</v>
      </c>
      <c r="CK7" s="199">
        <f>'RND 5 MP'!R9</f>
        <v>4</v>
      </c>
      <c r="CL7" s="199">
        <f>'RND 5 MP'!S9</f>
        <v>4</v>
      </c>
      <c r="CM7" s="199">
        <f>'RND 5 MP'!T9</f>
        <v>8</v>
      </c>
      <c r="CN7" s="266">
        <f>'RND 6 NET'!C9</f>
        <v>0</v>
      </c>
      <c r="CO7" s="266">
        <f>'RND 6 NET'!D9</f>
        <v>0</v>
      </c>
      <c r="CP7" s="266">
        <f>'RND 6 NET'!E9</f>
        <v>5</v>
      </c>
      <c r="CQ7" s="266">
        <f>'RND 6 NET'!F9</f>
        <v>0</v>
      </c>
      <c r="CR7" s="266">
        <f>'RND 6 NET'!G9</f>
        <v>0</v>
      </c>
      <c r="CS7" s="266">
        <f>'RND 6 NET'!H9</f>
        <v>0</v>
      </c>
      <c r="CT7" s="266">
        <f>'RND 6 NET'!I9</f>
        <v>0</v>
      </c>
      <c r="CU7" s="266">
        <f>'RND 6 NET'!J9</f>
        <v>0</v>
      </c>
      <c r="CV7" s="266">
        <f>'RND 6 NET'!K9</f>
        <v>0</v>
      </c>
      <c r="CW7" s="266">
        <f>'RND 6 NET'!L9</f>
        <v>0</v>
      </c>
      <c r="CX7" s="266">
        <f>'RND 6 NET'!M9</f>
        <v>0</v>
      </c>
      <c r="CY7" s="266">
        <f>'RND 6 NET'!N9</f>
        <v>0</v>
      </c>
      <c r="CZ7" s="266">
        <f>'RND 6 NET'!O9</f>
        <v>0</v>
      </c>
      <c r="DA7" s="266">
        <f>'RND 6 NET'!P9</f>
        <v>0</v>
      </c>
      <c r="DB7" s="266">
        <f>'RND 6 NET'!Q9</f>
        <v>0</v>
      </c>
      <c r="DC7" s="266">
        <f>'RND 6 NET'!R9</f>
        <v>0</v>
      </c>
      <c r="DD7" s="266">
        <f>'RND 6 NET'!S9</f>
        <v>0</v>
      </c>
      <c r="DE7" s="266">
        <f>'RND 6 NET'!T9</f>
        <v>0</v>
      </c>
    </row>
    <row r="8" spans="1:109" x14ac:dyDescent="0.2">
      <c r="A8" t="str">
        <f>'RND 6 NET'!A10</f>
        <v>FINDLAY</v>
      </c>
      <c r="B8" s="262">
        <f>'RND 1 STBL'!C10</f>
        <v>5</v>
      </c>
      <c r="C8" s="262">
        <f>'RND 1 STBL'!D10</f>
        <v>4</v>
      </c>
      <c r="D8" s="262">
        <f>'RND 1 STBL'!E10</f>
        <v>6</v>
      </c>
      <c r="E8" s="262">
        <f>'RND 1 STBL'!F10</f>
        <v>4</v>
      </c>
      <c r="F8" s="262">
        <f>'RND 1 STBL'!G10</f>
        <v>6</v>
      </c>
      <c r="G8" s="262">
        <f>'RND 1 STBL'!H10</f>
        <v>9</v>
      </c>
      <c r="H8" s="262">
        <f>'RND 1 STBL'!I10</f>
        <v>6</v>
      </c>
      <c r="I8" s="262">
        <f>'RND 1 STBL'!J10</f>
        <v>4</v>
      </c>
      <c r="J8" s="262">
        <f>'RND 1 STBL'!K10</f>
        <v>0</v>
      </c>
      <c r="K8" s="262">
        <f>'RND 1 STBL'!L10</f>
        <v>0</v>
      </c>
      <c r="L8" s="262">
        <f>'RND 1 STBL'!M10</f>
        <v>0</v>
      </c>
      <c r="M8" s="262">
        <f>'RND 1 STBL'!N10</f>
        <v>0</v>
      </c>
      <c r="N8" s="262">
        <f>'RND 1 STBL'!O10</f>
        <v>0</v>
      </c>
      <c r="O8" s="262">
        <f>'RND 1 STBL'!P10</f>
        <v>0</v>
      </c>
      <c r="P8" s="262">
        <f>'RND 1 STBL'!Q10</f>
        <v>0</v>
      </c>
      <c r="Q8" s="262">
        <f>'RND 1 STBL'!R10</f>
        <v>0</v>
      </c>
      <c r="R8" s="262">
        <f>'RND 1 STBL'!S10</f>
        <v>0</v>
      </c>
      <c r="S8" s="262">
        <f>'RND 1 STBL'!T10</f>
        <v>0</v>
      </c>
      <c r="T8" s="259">
        <f>'RND 2 MP'!C10</f>
        <v>2</v>
      </c>
      <c r="U8" s="259">
        <f>'RND 2 MP'!D10</f>
        <v>3</v>
      </c>
      <c r="V8" s="259">
        <f>'RND 2 MP'!E10</f>
        <v>6</v>
      </c>
      <c r="W8" s="259">
        <f>'RND 2 MP'!F10</f>
        <v>3</v>
      </c>
      <c r="X8" s="259">
        <f>'RND 2 MP'!G10</f>
        <v>2</v>
      </c>
      <c r="Y8" s="259">
        <f>'RND 2 MP'!H10</f>
        <v>2</v>
      </c>
      <c r="Z8" s="259">
        <f>'RND 2 MP'!I10</f>
        <v>2</v>
      </c>
      <c r="AA8" s="259">
        <f>'RND 2 MP'!J10</f>
        <v>1</v>
      </c>
      <c r="AB8" s="259">
        <f>'RND 2 MP'!K10</f>
        <v>4</v>
      </c>
      <c r="AC8" s="259">
        <f>'RND 2 MP'!L10</f>
        <v>2</v>
      </c>
      <c r="AD8" s="259">
        <f>'RND 2 MP'!M10</f>
        <v>2</v>
      </c>
      <c r="AE8" s="259">
        <f>'RND 2 MP'!N10</f>
        <v>2</v>
      </c>
      <c r="AF8" s="259">
        <f>'RND 2 MP'!O10</f>
        <v>2</v>
      </c>
      <c r="AG8" s="259">
        <f>'RND 2 MP'!P10</f>
        <v>2</v>
      </c>
      <c r="AH8" s="259">
        <f>'RND 2 MP'!Q10</f>
        <v>6</v>
      </c>
      <c r="AI8" s="259">
        <f>'RND 2 MP'!R10</f>
        <v>6</v>
      </c>
      <c r="AJ8" s="259">
        <f>'RND 2 MP'!S10</f>
        <v>6</v>
      </c>
      <c r="AK8" s="259">
        <f>'RND 2 MP'!T10</f>
        <v>7</v>
      </c>
      <c r="AL8" s="264">
        <f>'RND 3 MSTB'!C10</f>
        <v>5</v>
      </c>
      <c r="AM8" s="264">
        <f>'RND 3 MSTB'!D10</f>
        <v>5</v>
      </c>
      <c r="AN8" s="264">
        <f>'RND 3 MSTB'!E10</f>
        <v>5</v>
      </c>
      <c r="AO8" s="264">
        <f>'RND 3 MSTB'!F10</f>
        <v>5</v>
      </c>
      <c r="AP8" s="264">
        <f>'RND 3 MSTB'!G10</f>
        <v>5</v>
      </c>
      <c r="AQ8" s="264">
        <f>'RND 3 MSTB'!H10</f>
        <v>5</v>
      </c>
      <c r="AR8" s="264">
        <f>'RND 3 MSTB'!I10</f>
        <v>5</v>
      </c>
      <c r="AS8" s="264">
        <f>'RND 3 MSTB'!J10</f>
        <v>5</v>
      </c>
      <c r="AT8" s="264">
        <f>'RND 3 MSTB'!K10</f>
        <v>5</v>
      </c>
      <c r="AU8" s="264">
        <f>'RND 3 MSTB'!L10</f>
        <v>5</v>
      </c>
      <c r="AV8" s="264">
        <f>'RND 3 MSTB'!M10</f>
        <v>5</v>
      </c>
      <c r="AW8" s="264">
        <f>'RND 3 MSTB'!N10</f>
        <v>5</v>
      </c>
      <c r="AX8" s="264">
        <f>'RND 3 MSTB'!O10</f>
        <v>5</v>
      </c>
      <c r="AY8" s="264">
        <f>'RND 3 MSTB'!P10</f>
        <v>5</v>
      </c>
      <c r="AZ8" s="264">
        <f>'RND 3 MSTB'!Q10</f>
        <v>5</v>
      </c>
      <c r="BA8" s="264">
        <f>'RND 3 MSTB'!R10</f>
        <v>5</v>
      </c>
      <c r="BB8" s="264">
        <f>'RND 3 MSTB'!S10</f>
        <v>5</v>
      </c>
      <c r="BC8" s="264">
        <f>'RND 3 MSTB'!T10</f>
        <v>5</v>
      </c>
      <c r="BD8" s="265">
        <f>'RND 4 STBL'!C10</f>
        <v>7</v>
      </c>
      <c r="BE8" s="265">
        <f>'RND 4 STBL'!D10</f>
        <v>5</v>
      </c>
      <c r="BF8" s="265">
        <f>'RND 4 STBL'!E10</f>
        <v>5</v>
      </c>
      <c r="BG8" s="265">
        <f>'RND 4 STBL'!F10</f>
        <v>5</v>
      </c>
      <c r="BH8" s="265">
        <f>'RND 4 STBL'!G10</f>
        <v>5</v>
      </c>
      <c r="BI8" s="265">
        <f>'RND 4 STBL'!H10</f>
        <v>5</v>
      </c>
      <c r="BJ8" s="265">
        <f>'RND 4 STBL'!I10</f>
        <v>5</v>
      </c>
      <c r="BK8" s="265">
        <f>'RND 4 STBL'!J10</f>
        <v>5</v>
      </c>
      <c r="BL8" s="265">
        <f>'RND 4 STBL'!K10</f>
        <v>5</v>
      </c>
      <c r="BM8" s="265">
        <f>'RND 4 STBL'!L10</f>
        <v>5</v>
      </c>
      <c r="BN8" s="265">
        <f>'RND 4 STBL'!M10</f>
        <v>5</v>
      </c>
      <c r="BO8" s="265">
        <f>'RND 4 STBL'!N10</f>
        <v>5</v>
      </c>
      <c r="BP8" s="265">
        <f>'RND 4 STBL'!O10</f>
        <v>5</v>
      </c>
      <c r="BQ8" s="265">
        <f>'RND 4 STBL'!P10</f>
        <v>5</v>
      </c>
      <c r="BR8" s="265">
        <f>'RND 4 STBL'!Q10</f>
        <v>5</v>
      </c>
      <c r="BS8" s="265">
        <f>'RND 4 STBL'!R10</f>
        <v>5</v>
      </c>
      <c r="BT8" s="265">
        <f>'RND 4 STBL'!S10</f>
        <v>5</v>
      </c>
      <c r="BU8" s="265">
        <f>'RND 4 STBL'!T10</f>
        <v>5</v>
      </c>
      <c r="BV8" s="199">
        <f>'RND 5 MP'!C10</f>
        <v>5</v>
      </c>
      <c r="BW8" s="199">
        <f>'RND 5 MP'!D10</f>
        <v>8</v>
      </c>
      <c r="BX8" s="199">
        <f>'RND 5 MP'!E10</f>
        <v>5</v>
      </c>
      <c r="BY8" s="199">
        <f>'RND 5 MP'!F10</f>
        <v>5</v>
      </c>
      <c r="BZ8" s="199">
        <f>'RND 5 MP'!G10</f>
        <v>5</v>
      </c>
      <c r="CA8" s="199">
        <f>'RND 5 MP'!H10</f>
        <v>5</v>
      </c>
      <c r="CB8" s="199">
        <f>'RND 5 MP'!I10</f>
        <v>1</v>
      </c>
      <c r="CC8" s="199">
        <f>'RND 5 MP'!J10</f>
        <v>1</v>
      </c>
      <c r="CD8" s="199">
        <f>'RND 5 MP'!K10</f>
        <v>1</v>
      </c>
      <c r="CE8" s="199">
        <f>'RND 5 MP'!L10</f>
        <v>1</v>
      </c>
      <c r="CF8" s="199">
        <f>'RND 5 MP'!M10</f>
        <v>1</v>
      </c>
      <c r="CG8" s="199">
        <f>'RND 5 MP'!N10</f>
        <v>1</v>
      </c>
      <c r="CH8" s="199">
        <f>'RND 5 MP'!O10</f>
        <v>1</v>
      </c>
      <c r="CI8" s="199">
        <f>'RND 5 MP'!P10</f>
        <v>1</v>
      </c>
      <c r="CJ8" s="199">
        <f>'RND 5 MP'!Q10</f>
        <v>5</v>
      </c>
      <c r="CK8" s="199">
        <f>'RND 5 MP'!R10</f>
        <v>5</v>
      </c>
      <c r="CL8" s="199">
        <f>'RND 5 MP'!S10</f>
        <v>5</v>
      </c>
      <c r="CM8" s="199">
        <f>'RND 5 MP'!T10</f>
        <v>7</v>
      </c>
      <c r="CN8" s="266">
        <f>'RND 6 NET'!C10</f>
        <v>0</v>
      </c>
      <c r="CO8" s="266">
        <f>'RND 6 NET'!D10</f>
        <v>0</v>
      </c>
      <c r="CP8" s="266">
        <f>'RND 6 NET'!E10</f>
        <v>0</v>
      </c>
      <c r="CQ8" s="266">
        <f>'RND 6 NET'!F10</f>
        <v>4</v>
      </c>
      <c r="CR8" s="266">
        <f>'RND 6 NET'!G10</f>
        <v>0</v>
      </c>
      <c r="CS8" s="266">
        <f>'RND 6 NET'!H10</f>
        <v>0</v>
      </c>
      <c r="CT8" s="266">
        <f>'RND 6 NET'!I10</f>
        <v>0</v>
      </c>
      <c r="CU8" s="266">
        <f>'RND 6 NET'!J10</f>
        <v>0</v>
      </c>
      <c r="CV8" s="266">
        <f>'RND 6 NET'!K10</f>
        <v>0</v>
      </c>
      <c r="CW8" s="266">
        <f>'RND 6 NET'!L10</f>
        <v>0</v>
      </c>
      <c r="CX8" s="266">
        <f>'RND 6 NET'!M10</f>
        <v>0</v>
      </c>
      <c r="CY8" s="266">
        <f>'RND 6 NET'!N10</f>
        <v>0</v>
      </c>
      <c r="CZ8" s="266">
        <f>'RND 6 NET'!O10</f>
        <v>0</v>
      </c>
      <c r="DA8" s="266">
        <f>'RND 6 NET'!P10</f>
        <v>0</v>
      </c>
      <c r="DB8" s="266">
        <f>'RND 6 NET'!Q10</f>
        <v>0</v>
      </c>
      <c r="DC8" s="266">
        <f>'RND 6 NET'!R10</f>
        <v>0</v>
      </c>
      <c r="DD8" s="266">
        <f>'RND 6 NET'!S10</f>
        <v>0</v>
      </c>
      <c r="DE8" s="266">
        <f>'RND 6 NET'!T10</f>
        <v>0</v>
      </c>
    </row>
    <row r="9" spans="1:109" x14ac:dyDescent="0.2">
      <c r="A9" t="str">
        <f>'RND 6 NET'!A11</f>
        <v>HOLLANDS</v>
      </c>
      <c r="B9" s="262">
        <f>'RND 1 STBL'!C11</f>
        <v>6</v>
      </c>
      <c r="C9" s="262">
        <f>'RND 1 STBL'!D11</f>
        <v>4</v>
      </c>
      <c r="D9" s="262">
        <f>'RND 1 STBL'!E11</f>
        <v>6</v>
      </c>
      <c r="E9" s="262">
        <f>'RND 1 STBL'!F11</f>
        <v>9</v>
      </c>
      <c r="F9" s="262">
        <f>'RND 1 STBL'!G11</f>
        <v>6</v>
      </c>
      <c r="G9" s="262">
        <f>'RND 1 STBL'!H11</f>
        <v>9</v>
      </c>
      <c r="H9" s="262">
        <f>'RND 1 STBL'!I11</f>
        <v>6</v>
      </c>
      <c r="I9" s="262">
        <f>'RND 1 STBL'!J11</f>
        <v>9</v>
      </c>
      <c r="J9" s="262">
        <f>'RND 1 STBL'!K11</f>
        <v>0</v>
      </c>
      <c r="K9" s="262">
        <f>'RND 1 STBL'!L11</f>
        <v>0</v>
      </c>
      <c r="L9" s="262">
        <f>'RND 1 STBL'!M11</f>
        <v>0</v>
      </c>
      <c r="M9" s="262">
        <f>'RND 1 STBL'!N11</f>
        <v>0</v>
      </c>
      <c r="N9" s="262">
        <f>'RND 1 STBL'!O11</f>
        <v>0</v>
      </c>
      <c r="O9" s="262">
        <f>'RND 1 STBL'!P11</f>
        <v>0</v>
      </c>
      <c r="P9" s="262">
        <f>'RND 1 STBL'!Q11</f>
        <v>0</v>
      </c>
      <c r="Q9" s="262">
        <f>'RND 1 STBL'!R11</f>
        <v>0</v>
      </c>
      <c r="R9" s="262">
        <f>'RND 1 STBL'!S11</f>
        <v>0</v>
      </c>
      <c r="S9" s="262">
        <f>'RND 1 STBL'!T11</f>
        <v>0</v>
      </c>
      <c r="T9" s="259">
        <f>'RND 2 MP'!C11</f>
        <v>2</v>
      </c>
      <c r="U9" s="259">
        <f>'RND 2 MP'!D11</f>
        <v>3</v>
      </c>
      <c r="V9" s="259">
        <f>'RND 2 MP'!E11</f>
        <v>6</v>
      </c>
      <c r="W9" s="259">
        <f>'RND 2 MP'!F11</f>
        <v>3</v>
      </c>
      <c r="X9" s="259">
        <f>'RND 2 MP'!G11</f>
        <v>2</v>
      </c>
      <c r="Y9" s="259">
        <f>'RND 2 MP'!H11</f>
        <v>2</v>
      </c>
      <c r="Z9" s="259">
        <f>'RND 2 MP'!I11</f>
        <v>2</v>
      </c>
      <c r="AA9" s="259">
        <f>'RND 2 MP'!J11</f>
        <v>1</v>
      </c>
      <c r="AB9" s="259">
        <f>'RND 2 MP'!K11</f>
        <v>4</v>
      </c>
      <c r="AC9" s="259">
        <f>'RND 2 MP'!L11</f>
        <v>2</v>
      </c>
      <c r="AD9" s="259">
        <f>'RND 2 MP'!M11</f>
        <v>2</v>
      </c>
      <c r="AE9" s="259">
        <f>'RND 2 MP'!N11</f>
        <v>2</v>
      </c>
      <c r="AF9" s="259">
        <f>'RND 2 MP'!O11</f>
        <v>2</v>
      </c>
      <c r="AG9" s="259">
        <f>'RND 2 MP'!P11</f>
        <v>2</v>
      </c>
      <c r="AH9" s="259">
        <f>'RND 2 MP'!Q11</f>
        <v>6</v>
      </c>
      <c r="AI9" s="259">
        <f>'RND 2 MP'!R11</f>
        <v>6</v>
      </c>
      <c r="AJ9" s="259">
        <f>'RND 2 MP'!S11</f>
        <v>6</v>
      </c>
      <c r="AK9" s="259">
        <f>'RND 2 MP'!T11</f>
        <v>7</v>
      </c>
      <c r="AL9" s="264">
        <f>'RND 3 MSTB'!C11</f>
        <v>5</v>
      </c>
      <c r="AM9" s="264">
        <f>'RND 3 MSTB'!D11</f>
        <v>5</v>
      </c>
      <c r="AN9" s="264">
        <f>'RND 3 MSTB'!E11</f>
        <v>5</v>
      </c>
      <c r="AO9" s="264">
        <f>'RND 3 MSTB'!F11</f>
        <v>5</v>
      </c>
      <c r="AP9" s="264">
        <f>'RND 3 MSTB'!G11</f>
        <v>5</v>
      </c>
      <c r="AQ9" s="264">
        <f>'RND 3 MSTB'!H11</f>
        <v>5</v>
      </c>
      <c r="AR9" s="264">
        <f>'RND 3 MSTB'!I11</f>
        <v>5</v>
      </c>
      <c r="AS9" s="264">
        <f>'RND 3 MSTB'!J11</f>
        <v>5</v>
      </c>
      <c r="AT9" s="264">
        <f>'RND 3 MSTB'!K11</f>
        <v>5</v>
      </c>
      <c r="AU9" s="264">
        <f>'RND 3 MSTB'!L11</f>
        <v>5</v>
      </c>
      <c r="AV9" s="264">
        <f>'RND 3 MSTB'!M11</f>
        <v>5</v>
      </c>
      <c r="AW9" s="264">
        <f>'RND 3 MSTB'!N11</f>
        <v>5</v>
      </c>
      <c r="AX9" s="264">
        <f>'RND 3 MSTB'!O11</f>
        <v>5</v>
      </c>
      <c r="AY9" s="264">
        <f>'RND 3 MSTB'!P11</f>
        <v>5</v>
      </c>
      <c r="AZ9" s="264">
        <f>'RND 3 MSTB'!Q11</f>
        <v>5</v>
      </c>
      <c r="BA9" s="264">
        <f>'RND 3 MSTB'!R11</f>
        <v>5</v>
      </c>
      <c r="BB9" s="264">
        <f>'RND 3 MSTB'!S11</f>
        <v>5</v>
      </c>
      <c r="BC9" s="264">
        <f>'RND 3 MSTB'!T11</f>
        <v>5</v>
      </c>
      <c r="BD9" s="265">
        <f>'RND 4 STBL'!C11</f>
        <v>8</v>
      </c>
      <c r="BE9" s="265">
        <f>'RND 4 STBL'!D11</f>
        <v>5</v>
      </c>
      <c r="BF9" s="265">
        <f>'RND 4 STBL'!E11</f>
        <v>5</v>
      </c>
      <c r="BG9" s="265">
        <f>'RND 4 STBL'!F11</f>
        <v>5</v>
      </c>
      <c r="BH9" s="265">
        <f>'RND 4 STBL'!G11</f>
        <v>5</v>
      </c>
      <c r="BI9" s="265">
        <f>'RND 4 STBL'!H11</f>
        <v>5</v>
      </c>
      <c r="BJ9" s="265">
        <f>'RND 4 STBL'!I11</f>
        <v>5</v>
      </c>
      <c r="BK9" s="265">
        <f>'RND 4 STBL'!J11</f>
        <v>5</v>
      </c>
      <c r="BL9" s="265">
        <f>'RND 4 STBL'!K11</f>
        <v>5</v>
      </c>
      <c r="BM9" s="265">
        <f>'RND 4 STBL'!L11</f>
        <v>5</v>
      </c>
      <c r="BN9" s="265">
        <f>'RND 4 STBL'!M11</f>
        <v>5</v>
      </c>
      <c r="BO9" s="265">
        <f>'RND 4 STBL'!N11</f>
        <v>5</v>
      </c>
      <c r="BP9" s="265">
        <f>'RND 4 STBL'!O11</f>
        <v>5</v>
      </c>
      <c r="BQ9" s="265">
        <f>'RND 4 STBL'!P11</f>
        <v>5</v>
      </c>
      <c r="BR9" s="265">
        <f>'RND 4 STBL'!Q11</f>
        <v>5</v>
      </c>
      <c r="BS9" s="265">
        <f>'RND 4 STBL'!R11</f>
        <v>5</v>
      </c>
      <c r="BT9" s="265">
        <f>'RND 4 STBL'!S11</f>
        <v>5</v>
      </c>
      <c r="BU9" s="265">
        <f>'RND 4 STBL'!T11</f>
        <v>5</v>
      </c>
      <c r="BV9" s="199">
        <f>'RND 5 MP'!C11</f>
        <v>2</v>
      </c>
      <c r="BW9" s="199">
        <f>'RND 5 MP'!D11</f>
        <v>3</v>
      </c>
      <c r="BX9" s="199">
        <f>'RND 5 MP'!E11</f>
        <v>6</v>
      </c>
      <c r="BY9" s="199">
        <f>'RND 5 MP'!F11</f>
        <v>3</v>
      </c>
      <c r="BZ9" s="199">
        <f>'RND 5 MP'!G11</f>
        <v>2</v>
      </c>
      <c r="CA9" s="199">
        <f>'RND 5 MP'!H11</f>
        <v>2</v>
      </c>
      <c r="CB9" s="199">
        <f>'RND 5 MP'!I11</f>
        <v>2</v>
      </c>
      <c r="CC9" s="199">
        <f>'RND 5 MP'!J11</f>
        <v>1</v>
      </c>
      <c r="CD9" s="199">
        <f>'RND 5 MP'!K11</f>
        <v>4</v>
      </c>
      <c r="CE9" s="199">
        <f>'RND 5 MP'!L11</f>
        <v>2</v>
      </c>
      <c r="CF9" s="199">
        <f>'RND 5 MP'!M11</f>
        <v>2</v>
      </c>
      <c r="CG9" s="199">
        <f>'RND 5 MP'!N11</f>
        <v>2</v>
      </c>
      <c r="CH9" s="199">
        <f>'RND 5 MP'!O11</f>
        <v>2</v>
      </c>
      <c r="CI9" s="199">
        <f>'RND 5 MP'!P11</f>
        <v>2</v>
      </c>
      <c r="CJ9" s="199">
        <f>'RND 5 MP'!Q11</f>
        <v>6</v>
      </c>
      <c r="CK9" s="199">
        <f>'RND 5 MP'!R11</f>
        <v>6</v>
      </c>
      <c r="CL9" s="199">
        <f>'RND 5 MP'!S11</f>
        <v>6</v>
      </c>
      <c r="CM9" s="199">
        <f>'RND 5 MP'!T11</f>
        <v>7</v>
      </c>
      <c r="CN9" s="266">
        <f>'RND 6 NET'!C11</f>
        <v>0</v>
      </c>
      <c r="CO9" s="266">
        <f>'RND 6 NET'!D11</f>
        <v>0</v>
      </c>
      <c r="CP9" s="266">
        <f>'RND 6 NET'!E11</f>
        <v>0</v>
      </c>
      <c r="CQ9" s="266">
        <f>'RND 6 NET'!F11</f>
        <v>0</v>
      </c>
      <c r="CR9" s="266">
        <f>'RND 6 NET'!G11</f>
        <v>3</v>
      </c>
      <c r="CS9" s="266">
        <f>'RND 6 NET'!H11</f>
        <v>0</v>
      </c>
      <c r="CT9" s="266">
        <f>'RND 6 NET'!I11</f>
        <v>0</v>
      </c>
      <c r="CU9" s="266">
        <f>'RND 6 NET'!J11</f>
        <v>0</v>
      </c>
      <c r="CV9" s="266">
        <f>'RND 6 NET'!K11</f>
        <v>0</v>
      </c>
      <c r="CW9" s="266">
        <f>'RND 6 NET'!L11</f>
        <v>0</v>
      </c>
      <c r="CX9" s="266">
        <f>'RND 6 NET'!M11</f>
        <v>0</v>
      </c>
      <c r="CY9" s="266">
        <f>'RND 6 NET'!N11</f>
        <v>0</v>
      </c>
      <c r="CZ9" s="266">
        <f>'RND 6 NET'!O11</f>
        <v>0</v>
      </c>
      <c r="DA9" s="266">
        <f>'RND 6 NET'!P11</f>
        <v>0</v>
      </c>
      <c r="DB9" s="266">
        <f>'RND 6 NET'!Q11</f>
        <v>0</v>
      </c>
      <c r="DC9" s="266">
        <f>'RND 6 NET'!R11</f>
        <v>0</v>
      </c>
      <c r="DD9" s="266">
        <f>'RND 6 NET'!S11</f>
        <v>0</v>
      </c>
      <c r="DE9" s="266">
        <f>'RND 6 NET'!T11</f>
        <v>0</v>
      </c>
    </row>
    <row r="10" spans="1:109" x14ac:dyDescent="0.2">
      <c r="A10" t="str">
        <f>'RND 6 NET'!A12</f>
        <v>LAING</v>
      </c>
      <c r="B10" s="262">
        <f>'RND 1 STBL'!C12</f>
        <v>6</v>
      </c>
      <c r="C10" s="262">
        <f>'RND 1 STBL'!D12</f>
        <v>9</v>
      </c>
      <c r="D10" s="262">
        <f>'RND 1 STBL'!E12</f>
        <v>6</v>
      </c>
      <c r="E10" s="262">
        <f>'RND 1 STBL'!F12</f>
        <v>9</v>
      </c>
      <c r="F10" s="262">
        <f>'RND 1 STBL'!G12</f>
        <v>6</v>
      </c>
      <c r="G10" s="262">
        <f>'RND 1 STBL'!H12</f>
        <v>9</v>
      </c>
      <c r="H10" s="262">
        <f>'RND 1 STBL'!I12</f>
        <v>6</v>
      </c>
      <c r="I10" s="262">
        <f>'RND 1 STBL'!J12</f>
        <v>9</v>
      </c>
      <c r="J10" s="262">
        <f>'RND 1 STBL'!K12</f>
        <v>0</v>
      </c>
      <c r="K10" s="262">
        <f>'RND 1 STBL'!L12</f>
        <v>0</v>
      </c>
      <c r="L10" s="262">
        <f>'RND 1 STBL'!M12</f>
        <v>0</v>
      </c>
      <c r="M10" s="262">
        <f>'RND 1 STBL'!N12</f>
        <v>0</v>
      </c>
      <c r="N10" s="262">
        <f>'RND 1 STBL'!O12</f>
        <v>0</v>
      </c>
      <c r="O10" s="262">
        <f>'RND 1 STBL'!P12</f>
        <v>0</v>
      </c>
      <c r="P10" s="262">
        <f>'RND 1 STBL'!Q12</f>
        <v>0</v>
      </c>
      <c r="Q10" s="262">
        <f>'RND 1 STBL'!R12</f>
        <v>0</v>
      </c>
      <c r="R10" s="262">
        <f>'RND 1 STBL'!S12</f>
        <v>0</v>
      </c>
      <c r="S10" s="262">
        <f>'RND 1 STBL'!T12</f>
        <v>0</v>
      </c>
      <c r="T10" s="259">
        <f>'RND 2 MP'!C12</f>
        <v>7</v>
      </c>
      <c r="U10" s="259">
        <f>'RND 2 MP'!D12</f>
        <v>6</v>
      </c>
      <c r="V10" s="259">
        <f>'RND 2 MP'!E12</f>
        <v>4</v>
      </c>
      <c r="W10" s="259">
        <f>'RND 2 MP'!F12</f>
        <v>4</v>
      </c>
      <c r="X10" s="259">
        <f>'RND 2 MP'!G12</f>
        <v>3</v>
      </c>
      <c r="Y10" s="259">
        <f>'RND 2 MP'!H12</f>
        <v>4</v>
      </c>
      <c r="Z10" s="259">
        <f>'RND 2 MP'!I12</f>
        <v>7</v>
      </c>
      <c r="AA10" s="259">
        <f>'RND 2 MP'!J12</f>
        <v>2</v>
      </c>
      <c r="AB10" s="259">
        <f>'RND 2 MP'!K12</f>
        <v>4</v>
      </c>
      <c r="AC10" s="259">
        <f>'RND 2 MP'!L12</f>
        <v>5</v>
      </c>
      <c r="AD10" s="259">
        <f>'RND 2 MP'!M12</f>
        <v>5</v>
      </c>
      <c r="AE10" s="259">
        <f>'RND 2 MP'!N12</f>
        <v>5</v>
      </c>
      <c r="AF10" s="259">
        <f>'RND 2 MP'!O12</f>
        <v>5</v>
      </c>
      <c r="AG10" s="259">
        <f>'RND 2 MP'!P12</f>
        <v>5</v>
      </c>
      <c r="AH10" s="259">
        <f>'RND 2 MP'!Q12</f>
        <v>5</v>
      </c>
      <c r="AI10" s="259">
        <f>'RND 2 MP'!R12</f>
        <v>6</v>
      </c>
      <c r="AJ10" s="259">
        <f>'RND 2 MP'!S12</f>
        <v>7</v>
      </c>
      <c r="AK10" s="259">
        <f>'RND 2 MP'!T12</f>
        <v>6</v>
      </c>
      <c r="AL10" s="264">
        <f>'RND 3 MSTB'!C12</f>
        <v>5</v>
      </c>
      <c r="AM10" s="264">
        <f>'RND 3 MSTB'!D12</f>
        <v>5</v>
      </c>
      <c r="AN10" s="264">
        <f>'RND 3 MSTB'!E12</f>
        <v>5</v>
      </c>
      <c r="AO10" s="264">
        <f>'RND 3 MSTB'!F12</f>
        <v>5</v>
      </c>
      <c r="AP10" s="264">
        <f>'RND 3 MSTB'!G12</f>
        <v>5</v>
      </c>
      <c r="AQ10" s="264">
        <f>'RND 3 MSTB'!H12</f>
        <v>5</v>
      </c>
      <c r="AR10" s="264">
        <f>'RND 3 MSTB'!I12</f>
        <v>5</v>
      </c>
      <c r="AS10" s="264">
        <f>'RND 3 MSTB'!J12</f>
        <v>5</v>
      </c>
      <c r="AT10" s="264">
        <f>'RND 3 MSTB'!K12</f>
        <v>5</v>
      </c>
      <c r="AU10" s="264">
        <f>'RND 3 MSTB'!L12</f>
        <v>5</v>
      </c>
      <c r="AV10" s="264">
        <f>'RND 3 MSTB'!M12</f>
        <v>5</v>
      </c>
      <c r="AW10" s="264">
        <f>'RND 3 MSTB'!N12</f>
        <v>5</v>
      </c>
      <c r="AX10" s="264">
        <f>'RND 3 MSTB'!O12</f>
        <v>5</v>
      </c>
      <c r="AY10" s="264">
        <f>'RND 3 MSTB'!P12</f>
        <v>5</v>
      </c>
      <c r="AZ10" s="264">
        <f>'RND 3 MSTB'!Q12</f>
        <v>5</v>
      </c>
      <c r="BA10" s="264">
        <f>'RND 3 MSTB'!R12</f>
        <v>5</v>
      </c>
      <c r="BB10" s="264">
        <f>'RND 3 MSTB'!S12</f>
        <v>5</v>
      </c>
      <c r="BC10" s="264">
        <f>'RND 3 MSTB'!T12</f>
        <v>5</v>
      </c>
      <c r="BD10" s="265">
        <f>'RND 4 STBL'!C12</f>
        <v>9</v>
      </c>
      <c r="BE10" s="265">
        <f>'RND 4 STBL'!D12</f>
        <v>5</v>
      </c>
      <c r="BF10" s="265">
        <f>'RND 4 STBL'!E12</f>
        <v>5</v>
      </c>
      <c r="BG10" s="265">
        <f>'RND 4 STBL'!F12</f>
        <v>5</v>
      </c>
      <c r="BH10" s="265">
        <f>'RND 4 STBL'!G12</f>
        <v>5</v>
      </c>
      <c r="BI10" s="265">
        <f>'RND 4 STBL'!H12</f>
        <v>5</v>
      </c>
      <c r="BJ10" s="265">
        <f>'RND 4 STBL'!I12</f>
        <v>5</v>
      </c>
      <c r="BK10" s="265">
        <f>'RND 4 STBL'!J12</f>
        <v>5</v>
      </c>
      <c r="BL10" s="265">
        <f>'RND 4 STBL'!K12</f>
        <v>5</v>
      </c>
      <c r="BM10" s="265">
        <f>'RND 4 STBL'!L12</f>
        <v>5</v>
      </c>
      <c r="BN10" s="265">
        <f>'RND 4 STBL'!M12</f>
        <v>5</v>
      </c>
      <c r="BO10" s="265">
        <f>'RND 4 STBL'!N12</f>
        <v>5</v>
      </c>
      <c r="BP10" s="265">
        <f>'RND 4 STBL'!O12</f>
        <v>5</v>
      </c>
      <c r="BQ10" s="265">
        <f>'RND 4 STBL'!P12</f>
        <v>5</v>
      </c>
      <c r="BR10" s="265">
        <f>'RND 4 STBL'!Q12</f>
        <v>5</v>
      </c>
      <c r="BS10" s="265">
        <f>'RND 4 STBL'!R12</f>
        <v>5</v>
      </c>
      <c r="BT10" s="265">
        <f>'RND 4 STBL'!S12</f>
        <v>5</v>
      </c>
      <c r="BU10" s="265">
        <f>'RND 4 STBL'!T12</f>
        <v>5</v>
      </c>
      <c r="BV10" s="199">
        <f>'RND 5 MP'!C12</f>
        <v>1</v>
      </c>
      <c r="BW10" s="199">
        <f>'RND 5 MP'!D12</f>
        <v>1</v>
      </c>
      <c r="BX10" s="199">
        <f>'RND 5 MP'!E12</f>
        <v>1</v>
      </c>
      <c r="BY10" s="199">
        <f>'RND 5 MP'!F12</f>
        <v>1</v>
      </c>
      <c r="BZ10" s="199">
        <f>'RND 5 MP'!G12</f>
        <v>1</v>
      </c>
      <c r="CA10" s="199">
        <f>'RND 5 MP'!H12</f>
        <v>1</v>
      </c>
      <c r="CB10" s="199">
        <f>'RND 5 MP'!I12</f>
        <v>1</v>
      </c>
      <c r="CC10" s="199">
        <f>'RND 5 MP'!J12</f>
        <v>1</v>
      </c>
      <c r="CD10" s="199">
        <f>'RND 5 MP'!K12</f>
        <v>1</v>
      </c>
      <c r="CE10" s="199">
        <f>'RND 5 MP'!L12</f>
        <v>1</v>
      </c>
      <c r="CF10" s="199">
        <f>'RND 5 MP'!M12</f>
        <v>1</v>
      </c>
      <c r="CG10" s="199">
        <f>'RND 5 MP'!N12</f>
        <v>1</v>
      </c>
      <c r="CH10" s="199">
        <f>'RND 5 MP'!O12</f>
        <v>1</v>
      </c>
      <c r="CI10" s="199">
        <f>'RND 5 MP'!P12</f>
        <v>1</v>
      </c>
      <c r="CJ10" s="199">
        <f>'RND 5 MP'!Q12</f>
        <v>1</v>
      </c>
      <c r="CK10" s="199">
        <f>'RND 5 MP'!R12</f>
        <v>1</v>
      </c>
      <c r="CL10" s="199">
        <f>'RND 5 MP'!S12</f>
        <v>1</v>
      </c>
      <c r="CM10" s="199">
        <f>'RND 5 MP'!T12</f>
        <v>1</v>
      </c>
      <c r="CN10" s="266">
        <f>'RND 6 NET'!C12</f>
        <v>0</v>
      </c>
      <c r="CO10" s="266">
        <f>'RND 6 NET'!D12</f>
        <v>0</v>
      </c>
      <c r="CP10" s="266">
        <f>'RND 6 NET'!E12</f>
        <v>0</v>
      </c>
      <c r="CQ10" s="266">
        <f>'RND 6 NET'!F12</f>
        <v>0</v>
      </c>
      <c r="CR10" s="266">
        <f>'RND 6 NET'!G12</f>
        <v>0</v>
      </c>
      <c r="CS10" s="266">
        <f>'RND 6 NET'!H12</f>
        <v>2</v>
      </c>
      <c r="CT10" s="266">
        <f>'RND 6 NET'!I12</f>
        <v>0</v>
      </c>
      <c r="CU10" s="266">
        <f>'RND 6 NET'!J12</f>
        <v>0</v>
      </c>
      <c r="CV10" s="266">
        <f>'RND 6 NET'!K12</f>
        <v>0</v>
      </c>
      <c r="CW10" s="266">
        <f>'RND 6 NET'!L12</f>
        <v>0</v>
      </c>
      <c r="CX10" s="266">
        <f>'RND 6 NET'!M12</f>
        <v>0</v>
      </c>
      <c r="CY10" s="266">
        <f>'RND 6 NET'!N12</f>
        <v>0</v>
      </c>
      <c r="CZ10" s="266">
        <f>'RND 6 NET'!O12</f>
        <v>0</v>
      </c>
      <c r="DA10" s="266">
        <f>'RND 6 NET'!P12</f>
        <v>0</v>
      </c>
      <c r="DB10" s="266">
        <f>'RND 6 NET'!Q12</f>
        <v>0</v>
      </c>
      <c r="DC10" s="266">
        <f>'RND 6 NET'!R12</f>
        <v>0</v>
      </c>
      <c r="DD10" s="266">
        <f>'RND 6 NET'!S12</f>
        <v>0</v>
      </c>
      <c r="DE10" s="266">
        <f>'RND 6 NET'!T12</f>
        <v>0</v>
      </c>
    </row>
    <row r="11" spans="1:109" x14ac:dyDescent="0.2">
      <c r="A11" t="str">
        <f>'RND 6 NET'!A13</f>
        <v>REILLY</v>
      </c>
      <c r="B11" s="262">
        <f>'RND 1 STBL'!C13</f>
        <v>6</v>
      </c>
      <c r="C11" s="262">
        <f>'RND 1 STBL'!D13</f>
        <v>0</v>
      </c>
      <c r="D11" s="262">
        <f>'RND 1 STBL'!E13</f>
        <v>0</v>
      </c>
      <c r="E11" s="262">
        <f>'RND 1 STBL'!F13</f>
        <v>0</v>
      </c>
      <c r="F11" s="262">
        <f>'RND 1 STBL'!G13</f>
        <v>0</v>
      </c>
      <c r="G11" s="262">
        <f>'RND 1 STBL'!H13</f>
        <v>0</v>
      </c>
      <c r="H11" s="262">
        <f>'RND 1 STBL'!I13</f>
        <v>0</v>
      </c>
      <c r="I11" s="262">
        <f>'RND 1 STBL'!J13</f>
        <v>0</v>
      </c>
      <c r="J11" s="262">
        <f>'RND 1 STBL'!K13</f>
        <v>0</v>
      </c>
      <c r="K11" s="262">
        <f>'RND 1 STBL'!L13</f>
        <v>0</v>
      </c>
      <c r="L11" s="262">
        <f>'RND 1 STBL'!M13</f>
        <v>0</v>
      </c>
      <c r="M11" s="262">
        <f>'RND 1 STBL'!N13</f>
        <v>0</v>
      </c>
      <c r="N11" s="262">
        <f>'RND 1 STBL'!O13</f>
        <v>0</v>
      </c>
      <c r="O11" s="262">
        <f>'RND 1 STBL'!P13</f>
        <v>0</v>
      </c>
      <c r="P11" s="262">
        <f>'RND 1 STBL'!Q13</f>
        <v>0</v>
      </c>
      <c r="Q11" s="262">
        <f>'RND 1 STBL'!R13</f>
        <v>0</v>
      </c>
      <c r="R11" s="262">
        <f>'RND 1 STBL'!S13</f>
        <v>0</v>
      </c>
      <c r="S11" s="262">
        <f>'RND 1 STBL'!T13</f>
        <v>0</v>
      </c>
      <c r="T11" s="259">
        <f>'RND 2 MP'!C13</f>
        <v>7</v>
      </c>
      <c r="U11" s="259">
        <f>'RND 2 MP'!D13</f>
        <v>5</v>
      </c>
      <c r="V11" s="259">
        <f>'RND 2 MP'!E13</f>
        <v>7</v>
      </c>
      <c r="W11" s="259">
        <f>'RND 2 MP'!F13</f>
        <v>7</v>
      </c>
      <c r="X11" s="259">
        <f>'RND 2 MP'!G13</f>
        <v>7</v>
      </c>
      <c r="Y11" s="259">
        <f>'RND 2 MP'!H13</f>
        <v>1</v>
      </c>
      <c r="Z11" s="259">
        <f>'RND 2 MP'!I13</f>
        <v>1</v>
      </c>
      <c r="AA11" s="259">
        <f>'RND 2 MP'!J13</f>
        <v>7</v>
      </c>
      <c r="AB11" s="259">
        <f>'RND 2 MP'!K13</f>
        <v>7</v>
      </c>
      <c r="AC11" s="259">
        <f>'RND 2 MP'!L13</f>
        <v>7</v>
      </c>
      <c r="AD11" s="259">
        <f>'RND 2 MP'!M13</f>
        <v>7</v>
      </c>
      <c r="AE11" s="259">
        <f>'RND 2 MP'!N13</f>
        <v>7</v>
      </c>
      <c r="AF11" s="259">
        <f>'RND 2 MP'!O13</f>
        <v>7</v>
      </c>
      <c r="AG11" s="259">
        <f>'RND 2 MP'!P13</f>
        <v>7</v>
      </c>
      <c r="AH11" s="259">
        <f>'RND 2 MP'!Q13</f>
        <v>7</v>
      </c>
      <c r="AI11" s="259">
        <f>'RND 2 MP'!R13</f>
        <v>6</v>
      </c>
      <c r="AJ11" s="259">
        <f>'RND 2 MP'!S13</f>
        <v>7</v>
      </c>
      <c r="AK11" s="259">
        <f>'RND 2 MP'!T13</f>
        <v>5</v>
      </c>
      <c r="AL11" s="264">
        <f>'RND 3 MSTB'!C13</f>
        <v>5</v>
      </c>
      <c r="AM11" s="264">
        <f>'RND 3 MSTB'!D13</f>
        <v>5</v>
      </c>
      <c r="AN11" s="264">
        <f>'RND 3 MSTB'!E13</f>
        <v>5</v>
      </c>
      <c r="AO11" s="264">
        <f>'RND 3 MSTB'!F13</f>
        <v>5</v>
      </c>
      <c r="AP11" s="264">
        <f>'RND 3 MSTB'!G13</f>
        <v>5</v>
      </c>
      <c r="AQ11" s="264">
        <f>'RND 3 MSTB'!H13</f>
        <v>5</v>
      </c>
      <c r="AR11" s="264">
        <f>'RND 3 MSTB'!I13</f>
        <v>5</v>
      </c>
      <c r="AS11" s="264">
        <f>'RND 3 MSTB'!J13</f>
        <v>5</v>
      </c>
      <c r="AT11" s="264">
        <f>'RND 3 MSTB'!K13</f>
        <v>5</v>
      </c>
      <c r="AU11" s="264">
        <f>'RND 3 MSTB'!L13</f>
        <v>5</v>
      </c>
      <c r="AV11" s="264">
        <f>'RND 3 MSTB'!M13</f>
        <v>5</v>
      </c>
      <c r="AW11" s="264">
        <f>'RND 3 MSTB'!N13</f>
        <v>5</v>
      </c>
      <c r="AX11" s="264">
        <f>'RND 3 MSTB'!O13</f>
        <v>5</v>
      </c>
      <c r="AY11" s="264">
        <f>'RND 3 MSTB'!P13</f>
        <v>5</v>
      </c>
      <c r="AZ11" s="264">
        <f>'RND 3 MSTB'!Q13</f>
        <v>5</v>
      </c>
      <c r="BA11" s="264">
        <f>'RND 3 MSTB'!R13</f>
        <v>5</v>
      </c>
      <c r="BB11" s="264">
        <f>'RND 3 MSTB'!S13</f>
        <v>5</v>
      </c>
      <c r="BC11" s="264">
        <f>'RND 3 MSTB'!T13</f>
        <v>5</v>
      </c>
      <c r="BD11" s="265">
        <f>'RND 4 STBL'!C13</f>
        <v>10</v>
      </c>
      <c r="BE11" s="265">
        <f>'RND 4 STBL'!D13</f>
        <v>5</v>
      </c>
      <c r="BF11" s="265">
        <f>'RND 4 STBL'!E13</f>
        <v>5</v>
      </c>
      <c r="BG11" s="265">
        <f>'RND 4 STBL'!F13</f>
        <v>5</v>
      </c>
      <c r="BH11" s="265">
        <f>'RND 4 STBL'!G13</f>
        <v>5</v>
      </c>
      <c r="BI11" s="265">
        <f>'RND 4 STBL'!H13</f>
        <v>5</v>
      </c>
      <c r="BJ11" s="265">
        <f>'RND 4 STBL'!I13</f>
        <v>5</v>
      </c>
      <c r="BK11" s="265">
        <f>'RND 4 STBL'!J13</f>
        <v>5</v>
      </c>
      <c r="BL11" s="265">
        <f>'RND 4 STBL'!K13</f>
        <v>5</v>
      </c>
      <c r="BM11" s="265">
        <f>'RND 4 STBL'!L13</f>
        <v>5</v>
      </c>
      <c r="BN11" s="265">
        <f>'RND 4 STBL'!M13</f>
        <v>5</v>
      </c>
      <c r="BO11" s="265">
        <f>'RND 4 STBL'!N13</f>
        <v>5</v>
      </c>
      <c r="BP11" s="265">
        <f>'RND 4 STBL'!O13</f>
        <v>5</v>
      </c>
      <c r="BQ11" s="265">
        <f>'RND 4 STBL'!P13</f>
        <v>5</v>
      </c>
      <c r="BR11" s="265">
        <f>'RND 4 STBL'!Q13</f>
        <v>5</v>
      </c>
      <c r="BS11" s="265">
        <f>'RND 4 STBL'!R13</f>
        <v>5</v>
      </c>
      <c r="BT11" s="265">
        <f>'RND 4 STBL'!S13</f>
        <v>5</v>
      </c>
      <c r="BU11" s="265">
        <f>'RND 4 STBL'!T13</f>
        <v>5</v>
      </c>
      <c r="BV11" s="199">
        <f>'RND 5 MP'!C13</f>
        <v>7</v>
      </c>
      <c r="BW11" s="199">
        <f>'RND 5 MP'!D13</f>
        <v>5</v>
      </c>
      <c r="BX11" s="199">
        <f>'RND 5 MP'!E13</f>
        <v>7</v>
      </c>
      <c r="BY11" s="199">
        <f>'RND 5 MP'!F13</f>
        <v>7</v>
      </c>
      <c r="BZ11" s="199">
        <f>'RND 5 MP'!G13</f>
        <v>7</v>
      </c>
      <c r="CA11" s="199">
        <f>'RND 5 MP'!H13</f>
        <v>1</v>
      </c>
      <c r="CB11" s="199">
        <f>'RND 5 MP'!I13</f>
        <v>1</v>
      </c>
      <c r="CC11" s="199">
        <f>'RND 5 MP'!J13</f>
        <v>7</v>
      </c>
      <c r="CD11" s="199">
        <f>'RND 5 MP'!K13</f>
        <v>7</v>
      </c>
      <c r="CE11" s="199">
        <f>'RND 5 MP'!L13</f>
        <v>7</v>
      </c>
      <c r="CF11" s="199">
        <f>'RND 5 MP'!M13</f>
        <v>7</v>
      </c>
      <c r="CG11" s="199">
        <f>'RND 5 MP'!N13</f>
        <v>7</v>
      </c>
      <c r="CH11" s="199">
        <f>'RND 5 MP'!O13</f>
        <v>7</v>
      </c>
      <c r="CI11" s="199">
        <f>'RND 5 MP'!P13</f>
        <v>7</v>
      </c>
      <c r="CJ11" s="199">
        <f>'RND 5 MP'!Q13</f>
        <v>7</v>
      </c>
      <c r="CK11" s="199">
        <f>'RND 5 MP'!R13</f>
        <v>6</v>
      </c>
      <c r="CL11" s="199">
        <f>'RND 5 MP'!S13</f>
        <v>7</v>
      </c>
      <c r="CM11" s="199">
        <f>'RND 5 MP'!T13</f>
        <v>5</v>
      </c>
      <c r="CN11" s="266">
        <f>'RND 6 NET'!C13</f>
        <v>0</v>
      </c>
      <c r="CO11" s="266">
        <f>'RND 6 NET'!D13</f>
        <v>0</v>
      </c>
      <c r="CP11" s="266">
        <f>'RND 6 NET'!E13</f>
        <v>0</v>
      </c>
      <c r="CQ11" s="266">
        <f>'RND 6 NET'!F13</f>
        <v>0</v>
      </c>
      <c r="CR11" s="266">
        <f>'RND 6 NET'!G13</f>
        <v>0</v>
      </c>
      <c r="CS11" s="266">
        <f>'RND 6 NET'!H13</f>
        <v>0</v>
      </c>
      <c r="CT11" s="266">
        <f>'RND 6 NET'!I13</f>
        <v>1</v>
      </c>
      <c r="CU11" s="266">
        <f>'RND 6 NET'!J13</f>
        <v>0</v>
      </c>
      <c r="CV11" s="266">
        <f>'RND 6 NET'!K13</f>
        <v>0</v>
      </c>
      <c r="CW11" s="266">
        <f>'RND 6 NET'!L13</f>
        <v>0</v>
      </c>
      <c r="CX11" s="266">
        <f>'RND 6 NET'!M13</f>
        <v>0</v>
      </c>
      <c r="CY11" s="266">
        <f>'RND 6 NET'!N13</f>
        <v>0</v>
      </c>
      <c r="CZ11" s="266">
        <f>'RND 6 NET'!O13</f>
        <v>0</v>
      </c>
      <c r="DA11" s="266">
        <f>'RND 6 NET'!P13</f>
        <v>0</v>
      </c>
      <c r="DB11" s="266">
        <f>'RND 6 NET'!Q13</f>
        <v>0</v>
      </c>
      <c r="DC11" s="266">
        <f>'RND 6 NET'!R13</f>
        <v>0</v>
      </c>
      <c r="DD11" s="266">
        <f>'RND 6 NET'!S13</f>
        <v>0</v>
      </c>
      <c r="DE11" s="266">
        <f>'RND 6 NET'!T13</f>
        <v>0</v>
      </c>
    </row>
    <row r="12" spans="1:109" x14ac:dyDescent="0.2">
      <c r="A12" t="str">
        <f>'RND 6 NET'!A14</f>
        <v>STONES</v>
      </c>
      <c r="B12" s="262">
        <f>'RND 1 STBL'!C14</f>
        <v>6</v>
      </c>
      <c r="C12" s="262">
        <f>'RND 1 STBL'!D14</f>
        <v>4</v>
      </c>
      <c r="D12" s="262">
        <f>'RND 1 STBL'!E14</f>
        <v>4</v>
      </c>
      <c r="E12" s="262">
        <f>'RND 1 STBL'!F14</f>
        <v>7</v>
      </c>
      <c r="F12" s="262">
        <f>'RND 1 STBL'!G14</f>
        <v>4</v>
      </c>
      <c r="G12" s="262">
        <f>'RND 1 STBL'!H14</f>
        <v>4</v>
      </c>
      <c r="H12" s="262">
        <f>'RND 1 STBL'!I14</f>
        <v>4</v>
      </c>
      <c r="I12" s="262">
        <f>'RND 1 STBL'!J14</f>
        <v>4</v>
      </c>
      <c r="J12" s="262">
        <f>'RND 1 STBL'!K14</f>
        <v>4</v>
      </c>
      <c r="K12" s="262">
        <f>'RND 1 STBL'!L14</f>
        <v>4</v>
      </c>
      <c r="L12" s="262">
        <f>'RND 1 STBL'!M14</f>
        <v>4</v>
      </c>
      <c r="M12" s="262">
        <f>'RND 1 STBL'!N14</f>
        <v>4</v>
      </c>
      <c r="N12" s="262">
        <f>'RND 1 STBL'!O14</f>
        <v>4</v>
      </c>
      <c r="O12" s="262">
        <f>'RND 1 STBL'!P14</f>
        <v>4</v>
      </c>
      <c r="P12" s="262">
        <f>'RND 1 STBL'!Q14</f>
        <v>4</v>
      </c>
      <c r="Q12" s="262">
        <f>'RND 1 STBL'!R14</f>
        <v>4</v>
      </c>
      <c r="R12" s="262">
        <f>'RND 1 STBL'!S14</f>
        <v>4</v>
      </c>
      <c r="S12" s="262">
        <f>'RND 1 STBL'!T14</f>
        <v>4</v>
      </c>
      <c r="T12" s="259">
        <f>'RND 2 MP'!C14</f>
        <v>7</v>
      </c>
      <c r="U12" s="259">
        <f>'RND 2 MP'!D14</f>
        <v>4</v>
      </c>
      <c r="V12" s="259">
        <f>'RND 2 MP'!E14</f>
        <v>7</v>
      </c>
      <c r="W12" s="259">
        <f>'RND 2 MP'!F14</f>
        <v>7</v>
      </c>
      <c r="X12" s="259">
        <f>'RND 2 MP'!G14</f>
        <v>7</v>
      </c>
      <c r="Y12" s="259">
        <f>'RND 2 MP'!H14</f>
        <v>7</v>
      </c>
      <c r="Z12" s="259">
        <f>'RND 2 MP'!I14</f>
        <v>7</v>
      </c>
      <c r="AA12" s="259">
        <f>'RND 2 MP'!J14</f>
        <v>7</v>
      </c>
      <c r="AB12" s="259">
        <f>'RND 2 MP'!K14</f>
        <v>1</v>
      </c>
      <c r="AC12" s="259">
        <f>'RND 2 MP'!L14</f>
        <v>7</v>
      </c>
      <c r="AD12" s="259">
        <f>'RND 2 MP'!M14</f>
        <v>7</v>
      </c>
      <c r="AE12" s="259">
        <f>'RND 2 MP'!N14</f>
        <v>7</v>
      </c>
      <c r="AF12" s="259">
        <f>'RND 2 MP'!O14</f>
        <v>7</v>
      </c>
      <c r="AG12" s="259">
        <f>'RND 2 MP'!P14</f>
        <v>7</v>
      </c>
      <c r="AH12" s="259">
        <f>'RND 2 MP'!Q14</f>
        <v>7</v>
      </c>
      <c r="AI12" s="259">
        <f>'RND 2 MP'!R14</f>
        <v>7</v>
      </c>
      <c r="AJ12" s="259">
        <f>'RND 2 MP'!S14</f>
        <v>7</v>
      </c>
      <c r="AK12" s="259">
        <f>'RND 2 MP'!T14</f>
        <v>4</v>
      </c>
      <c r="AL12" s="264">
        <f>'RND 3 MSTB'!C14</f>
        <v>5</v>
      </c>
      <c r="AM12" s="264">
        <f>'RND 3 MSTB'!D14</f>
        <v>5</v>
      </c>
      <c r="AN12" s="264">
        <f>'RND 3 MSTB'!E14</f>
        <v>5</v>
      </c>
      <c r="AO12" s="264">
        <f>'RND 3 MSTB'!F14</f>
        <v>5</v>
      </c>
      <c r="AP12" s="264">
        <f>'RND 3 MSTB'!G14</f>
        <v>5</v>
      </c>
      <c r="AQ12" s="264">
        <f>'RND 3 MSTB'!H14</f>
        <v>5</v>
      </c>
      <c r="AR12" s="264">
        <f>'RND 3 MSTB'!I14</f>
        <v>5</v>
      </c>
      <c r="AS12" s="264">
        <f>'RND 3 MSTB'!J14</f>
        <v>5</v>
      </c>
      <c r="AT12" s="264">
        <f>'RND 3 MSTB'!K14</f>
        <v>5</v>
      </c>
      <c r="AU12" s="264">
        <f>'RND 3 MSTB'!L14</f>
        <v>5</v>
      </c>
      <c r="AV12" s="264">
        <f>'RND 3 MSTB'!M14</f>
        <v>5</v>
      </c>
      <c r="AW12" s="264">
        <f>'RND 3 MSTB'!N14</f>
        <v>5</v>
      </c>
      <c r="AX12" s="264">
        <f>'RND 3 MSTB'!O14</f>
        <v>5</v>
      </c>
      <c r="AY12" s="264">
        <f>'RND 3 MSTB'!P14</f>
        <v>5</v>
      </c>
      <c r="AZ12" s="264">
        <f>'RND 3 MSTB'!Q14</f>
        <v>5</v>
      </c>
      <c r="BA12" s="264">
        <f>'RND 3 MSTB'!R14</f>
        <v>5</v>
      </c>
      <c r="BB12" s="264">
        <f>'RND 3 MSTB'!S14</f>
        <v>5</v>
      </c>
      <c r="BC12" s="264">
        <f>'RND 3 MSTB'!T14</f>
        <v>5</v>
      </c>
      <c r="BD12" s="265">
        <f>'RND 4 STBL'!C14</f>
        <v>11</v>
      </c>
      <c r="BE12" s="265">
        <f>'RND 4 STBL'!D14</f>
        <v>5</v>
      </c>
      <c r="BF12" s="265">
        <f>'RND 4 STBL'!E14</f>
        <v>5</v>
      </c>
      <c r="BG12" s="265">
        <f>'RND 4 STBL'!F14</f>
        <v>5</v>
      </c>
      <c r="BH12" s="265">
        <f>'RND 4 STBL'!G14</f>
        <v>5</v>
      </c>
      <c r="BI12" s="265">
        <f>'RND 4 STBL'!H14</f>
        <v>5</v>
      </c>
      <c r="BJ12" s="265">
        <f>'RND 4 STBL'!I14</f>
        <v>5</v>
      </c>
      <c r="BK12" s="265">
        <f>'RND 4 STBL'!J14</f>
        <v>5</v>
      </c>
      <c r="BL12" s="265">
        <f>'RND 4 STBL'!K14</f>
        <v>5</v>
      </c>
      <c r="BM12" s="265">
        <f>'RND 4 STBL'!L14</f>
        <v>5</v>
      </c>
      <c r="BN12" s="265">
        <f>'RND 4 STBL'!M14</f>
        <v>5</v>
      </c>
      <c r="BO12" s="265">
        <f>'RND 4 STBL'!N14</f>
        <v>5</v>
      </c>
      <c r="BP12" s="265">
        <f>'RND 4 STBL'!O14</f>
        <v>5</v>
      </c>
      <c r="BQ12" s="265">
        <f>'RND 4 STBL'!P14</f>
        <v>5</v>
      </c>
      <c r="BR12" s="265">
        <f>'RND 4 STBL'!Q14</f>
        <v>5</v>
      </c>
      <c r="BS12" s="265">
        <f>'RND 4 STBL'!R14</f>
        <v>5</v>
      </c>
      <c r="BT12" s="265">
        <f>'RND 4 STBL'!S14</f>
        <v>5</v>
      </c>
      <c r="BU12" s="265">
        <f>'RND 4 STBL'!T14</f>
        <v>5</v>
      </c>
      <c r="BV12" s="199">
        <f>'RND 5 MP'!C14</f>
        <v>7</v>
      </c>
      <c r="BW12" s="199">
        <f>'RND 5 MP'!D14</f>
        <v>4</v>
      </c>
      <c r="BX12" s="199">
        <f>'RND 5 MP'!E14</f>
        <v>7</v>
      </c>
      <c r="BY12" s="199">
        <f>'RND 5 MP'!F14</f>
        <v>7</v>
      </c>
      <c r="BZ12" s="199">
        <f>'RND 5 MP'!G14</f>
        <v>7</v>
      </c>
      <c r="CA12" s="199">
        <f>'RND 5 MP'!H14</f>
        <v>7</v>
      </c>
      <c r="CB12" s="199">
        <f>'RND 5 MP'!I14</f>
        <v>7</v>
      </c>
      <c r="CC12" s="199">
        <f>'RND 5 MP'!J14</f>
        <v>7</v>
      </c>
      <c r="CD12" s="199">
        <f>'RND 5 MP'!K14</f>
        <v>1</v>
      </c>
      <c r="CE12" s="199">
        <f>'RND 5 MP'!L14</f>
        <v>7</v>
      </c>
      <c r="CF12" s="199">
        <f>'RND 5 MP'!M14</f>
        <v>7</v>
      </c>
      <c r="CG12" s="199">
        <f>'RND 5 MP'!N14</f>
        <v>7</v>
      </c>
      <c r="CH12" s="199">
        <f>'RND 5 MP'!O14</f>
        <v>7</v>
      </c>
      <c r="CI12" s="199">
        <f>'RND 5 MP'!P14</f>
        <v>7</v>
      </c>
      <c r="CJ12" s="199">
        <f>'RND 5 MP'!Q14</f>
        <v>7</v>
      </c>
      <c r="CK12" s="199">
        <f>'RND 5 MP'!R14</f>
        <v>7</v>
      </c>
      <c r="CL12" s="199">
        <f>'RND 5 MP'!S14</f>
        <v>7</v>
      </c>
      <c r="CM12" s="199">
        <f>'RND 5 MP'!T14</f>
        <v>4</v>
      </c>
      <c r="CN12" s="266">
        <f>'RND 6 NET'!C14</f>
        <v>0</v>
      </c>
      <c r="CO12" s="266">
        <f>'RND 6 NET'!D14</f>
        <v>0</v>
      </c>
      <c r="CP12" s="266">
        <f>'RND 6 NET'!E14</f>
        <v>0</v>
      </c>
      <c r="CQ12" s="266">
        <f>'RND 6 NET'!F14</f>
        <v>0</v>
      </c>
      <c r="CR12" s="266">
        <f>'RND 6 NET'!G14</f>
        <v>0</v>
      </c>
      <c r="CS12" s="266">
        <f>'RND 6 NET'!H14</f>
        <v>0</v>
      </c>
      <c r="CT12" s="266">
        <f>'RND 6 NET'!I14</f>
        <v>0</v>
      </c>
      <c r="CU12" s="266">
        <f>'RND 6 NET'!J14</f>
        <v>0</v>
      </c>
      <c r="CV12" s="266">
        <f>'RND 6 NET'!K14</f>
        <v>0</v>
      </c>
      <c r="CW12" s="266">
        <f>'RND 6 NET'!L14</f>
        <v>0</v>
      </c>
      <c r="CX12" s="266">
        <f>'RND 6 NET'!M14</f>
        <v>0</v>
      </c>
      <c r="CY12" s="266">
        <f>'RND 6 NET'!N14</f>
        <v>0</v>
      </c>
      <c r="CZ12" s="266">
        <f>'RND 6 NET'!O14</f>
        <v>0</v>
      </c>
      <c r="DA12" s="266">
        <f>'RND 6 NET'!P14</f>
        <v>0</v>
      </c>
      <c r="DB12" s="266">
        <f>'RND 6 NET'!Q14</f>
        <v>0</v>
      </c>
      <c r="DC12" s="266">
        <f>'RND 6 NET'!R14</f>
        <v>0</v>
      </c>
      <c r="DD12" s="266">
        <f>'RND 6 NET'!S14</f>
        <v>0</v>
      </c>
      <c r="DE12" s="266">
        <f>'RND 6 NET'!T14</f>
        <v>0</v>
      </c>
    </row>
    <row r="15" spans="1:109" x14ac:dyDescent="0.2">
      <c r="A15" t="str">
        <f>A5</f>
        <v>BELLIS</v>
      </c>
      <c r="B15" s="262">
        <f>B5 - B$3</f>
        <v>1</v>
      </c>
      <c r="C15" s="262">
        <f>C5 - C$3</f>
        <v>2</v>
      </c>
      <c r="D15" s="262">
        <f t="shared" ref="D15:BN15" si="0">D5 - D$3</f>
        <v>1</v>
      </c>
      <c r="E15" s="262">
        <f t="shared" si="0"/>
        <v>1</v>
      </c>
      <c r="F15" s="262">
        <f t="shared" si="0"/>
        <v>1</v>
      </c>
      <c r="G15" s="262">
        <f t="shared" si="0"/>
        <v>1</v>
      </c>
      <c r="H15" s="262">
        <f t="shared" si="0"/>
        <v>1</v>
      </c>
      <c r="I15" s="262">
        <f t="shared" si="0"/>
        <v>2</v>
      </c>
      <c r="J15" s="262">
        <f t="shared" si="0"/>
        <v>0</v>
      </c>
      <c r="K15" s="262">
        <f t="shared" si="0"/>
        <v>0</v>
      </c>
      <c r="L15" s="262">
        <f t="shared" si="0"/>
        <v>1</v>
      </c>
      <c r="M15" s="262">
        <f t="shared" si="0"/>
        <v>2</v>
      </c>
      <c r="N15" s="262">
        <f t="shared" si="0"/>
        <v>0</v>
      </c>
      <c r="O15" s="262">
        <f t="shared" si="0"/>
        <v>1</v>
      </c>
      <c r="P15" s="262">
        <f t="shared" si="0"/>
        <v>0</v>
      </c>
      <c r="Q15" s="262">
        <f t="shared" si="0"/>
        <v>1</v>
      </c>
      <c r="R15" s="262">
        <f t="shared" si="0"/>
        <v>2</v>
      </c>
      <c r="S15" s="262">
        <f t="shared" si="0"/>
        <v>1</v>
      </c>
      <c r="T15" s="259">
        <f t="shared" si="0"/>
        <v>4</v>
      </c>
      <c r="U15" s="259">
        <f t="shared" si="0"/>
        <v>-1</v>
      </c>
      <c r="V15" s="259">
        <f t="shared" si="0"/>
        <v>4</v>
      </c>
      <c r="W15" s="259">
        <f t="shared" si="0"/>
        <v>4</v>
      </c>
      <c r="X15" s="259">
        <f t="shared" si="0"/>
        <v>4</v>
      </c>
      <c r="Y15" s="259">
        <f t="shared" si="0"/>
        <v>3</v>
      </c>
      <c r="Z15" s="259">
        <f t="shared" si="0"/>
        <v>5</v>
      </c>
      <c r="AA15" s="259">
        <f t="shared" si="0"/>
        <v>4</v>
      </c>
      <c r="AB15" s="259">
        <f t="shared" si="0"/>
        <v>-3</v>
      </c>
      <c r="AC15" s="259">
        <f t="shared" si="0"/>
        <v>4</v>
      </c>
      <c r="AD15" s="259">
        <f t="shared" si="0"/>
        <v>3</v>
      </c>
      <c r="AE15" s="259">
        <f t="shared" si="0"/>
        <v>4</v>
      </c>
      <c r="AF15" s="259">
        <f t="shared" si="0"/>
        <v>4</v>
      </c>
      <c r="AG15" s="259">
        <f t="shared" si="0"/>
        <v>5</v>
      </c>
      <c r="AH15" s="259">
        <f t="shared" si="0"/>
        <v>3</v>
      </c>
      <c r="AI15" s="259">
        <f t="shared" si="0"/>
        <v>4</v>
      </c>
      <c r="AJ15" s="259">
        <f t="shared" si="0"/>
        <v>5</v>
      </c>
      <c r="AK15" s="259">
        <f t="shared" si="0"/>
        <v>5</v>
      </c>
      <c r="AL15" s="266">
        <f t="shared" si="0"/>
        <v>1</v>
      </c>
      <c r="AM15" s="266">
        <f t="shared" si="0"/>
        <v>0</v>
      </c>
      <c r="AN15" s="266">
        <f t="shared" si="0"/>
        <v>2</v>
      </c>
      <c r="AO15" s="266">
        <f t="shared" si="0"/>
        <v>0</v>
      </c>
      <c r="AP15" s="266">
        <f t="shared" si="0"/>
        <v>1</v>
      </c>
      <c r="AQ15" s="266">
        <f t="shared" si="0"/>
        <v>1</v>
      </c>
      <c r="AR15" s="266">
        <f t="shared" si="0"/>
        <v>2</v>
      </c>
      <c r="AS15" s="266">
        <f t="shared" si="0"/>
        <v>1</v>
      </c>
      <c r="AT15" s="266">
        <f t="shared" si="0"/>
        <v>1</v>
      </c>
      <c r="AU15" s="266">
        <f t="shared" si="0"/>
        <v>1</v>
      </c>
      <c r="AV15" s="266">
        <f t="shared" si="0"/>
        <v>1</v>
      </c>
      <c r="AW15" s="266">
        <f t="shared" si="0"/>
        <v>0</v>
      </c>
      <c r="AX15" s="266">
        <f t="shared" si="0"/>
        <v>1</v>
      </c>
      <c r="AY15" s="266">
        <f t="shared" si="0"/>
        <v>2</v>
      </c>
      <c r="AZ15" s="266">
        <f t="shared" si="0"/>
        <v>1</v>
      </c>
      <c r="BA15" s="266">
        <f t="shared" si="0"/>
        <v>1</v>
      </c>
      <c r="BB15" s="266">
        <f t="shared" si="0"/>
        <v>2</v>
      </c>
      <c r="BC15" s="266">
        <f t="shared" si="0"/>
        <v>0</v>
      </c>
      <c r="BD15" s="134">
        <f t="shared" si="0"/>
        <v>1</v>
      </c>
      <c r="BE15" s="134">
        <f t="shared" si="0"/>
        <v>1</v>
      </c>
      <c r="BF15" s="134">
        <f t="shared" si="0"/>
        <v>0</v>
      </c>
      <c r="BG15" s="134">
        <f t="shared" si="0"/>
        <v>2</v>
      </c>
      <c r="BH15" s="134">
        <f t="shared" si="0"/>
        <v>1</v>
      </c>
      <c r="BI15" s="134">
        <f t="shared" si="0"/>
        <v>0</v>
      </c>
      <c r="BJ15" s="134">
        <f t="shared" si="0"/>
        <v>1</v>
      </c>
      <c r="BK15" s="134">
        <f t="shared" si="0"/>
        <v>1</v>
      </c>
      <c r="BL15" s="134">
        <f t="shared" si="0"/>
        <v>1</v>
      </c>
      <c r="BM15" s="134">
        <f t="shared" si="0"/>
        <v>2</v>
      </c>
      <c r="BN15" s="134">
        <f t="shared" si="0"/>
        <v>1</v>
      </c>
      <c r="BO15" s="134">
        <f t="shared" ref="BO15:DE15" si="1">BO5 - BO$3</f>
        <v>0</v>
      </c>
      <c r="BP15" s="134">
        <f t="shared" si="1"/>
        <v>2</v>
      </c>
      <c r="BQ15" s="134">
        <f t="shared" si="1"/>
        <v>1</v>
      </c>
      <c r="BR15" s="134">
        <f t="shared" si="1"/>
        <v>0</v>
      </c>
      <c r="BS15" s="134">
        <f t="shared" si="1"/>
        <v>1</v>
      </c>
      <c r="BT15" s="134">
        <f t="shared" si="1"/>
        <v>1</v>
      </c>
      <c r="BU15" s="134">
        <f t="shared" si="1"/>
        <v>1</v>
      </c>
      <c r="BV15" s="199">
        <f t="shared" si="1"/>
        <v>5</v>
      </c>
      <c r="BW15" s="199">
        <f t="shared" si="1"/>
        <v>-2</v>
      </c>
      <c r="BX15" s="199">
        <f t="shared" si="1"/>
        <v>3</v>
      </c>
      <c r="BY15" s="199">
        <f t="shared" si="1"/>
        <v>5</v>
      </c>
      <c r="BZ15" s="199">
        <f t="shared" si="1"/>
        <v>4</v>
      </c>
      <c r="CA15" s="199">
        <f t="shared" si="1"/>
        <v>3</v>
      </c>
      <c r="CB15" s="199">
        <f t="shared" si="1"/>
        <v>4</v>
      </c>
      <c r="CC15" s="199">
        <f t="shared" si="1"/>
        <v>4</v>
      </c>
      <c r="CD15" s="199">
        <f t="shared" si="1"/>
        <v>-2</v>
      </c>
      <c r="CE15" s="199">
        <f t="shared" si="1"/>
        <v>5</v>
      </c>
      <c r="CF15" s="199">
        <f t="shared" si="1"/>
        <v>4</v>
      </c>
      <c r="CG15" s="199">
        <f t="shared" si="1"/>
        <v>3</v>
      </c>
      <c r="CH15" s="199">
        <f t="shared" si="1"/>
        <v>5</v>
      </c>
      <c r="CI15" s="199">
        <f t="shared" si="1"/>
        <v>4</v>
      </c>
      <c r="CJ15" s="199">
        <f t="shared" si="1"/>
        <v>3</v>
      </c>
      <c r="CK15" s="199">
        <f t="shared" si="1"/>
        <v>4</v>
      </c>
      <c r="CL15" s="199">
        <f t="shared" si="1"/>
        <v>4</v>
      </c>
      <c r="CM15" s="199">
        <f t="shared" si="1"/>
        <v>5</v>
      </c>
      <c r="CN15" s="264">
        <f t="shared" si="1"/>
        <v>3</v>
      </c>
      <c r="CO15" s="264">
        <f t="shared" si="1"/>
        <v>-5</v>
      </c>
      <c r="CP15" s="264">
        <f t="shared" si="1"/>
        <v>-3</v>
      </c>
      <c r="CQ15" s="264">
        <f t="shared" si="1"/>
        <v>-5</v>
      </c>
      <c r="CR15" s="264">
        <f t="shared" si="1"/>
        <v>-4</v>
      </c>
      <c r="CS15" s="264">
        <f t="shared" si="1"/>
        <v>-4</v>
      </c>
      <c r="CT15" s="264">
        <f t="shared" si="1"/>
        <v>-3</v>
      </c>
      <c r="CU15" s="264">
        <f t="shared" si="1"/>
        <v>-4</v>
      </c>
      <c r="CV15" s="264">
        <f t="shared" si="1"/>
        <v>-4</v>
      </c>
      <c r="CW15" s="264">
        <f t="shared" si="1"/>
        <v>-4</v>
      </c>
      <c r="CX15" s="264">
        <f t="shared" si="1"/>
        <v>-4</v>
      </c>
      <c r="CY15" s="264">
        <f t="shared" si="1"/>
        <v>-5</v>
      </c>
      <c r="CZ15" s="264">
        <f t="shared" si="1"/>
        <v>-4</v>
      </c>
      <c r="DA15" s="264">
        <f t="shared" si="1"/>
        <v>-3</v>
      </c>
      <c r="DB15" s="264">
        <f t="shared" si="1"/>
        <v>-4</v>
      </c>
      <c r="DC15" s="264">
        <f t="shared" si="1"/>
        <v>-4</v>
      </c>
      <c r="DD15" s="264">
        <f t="shared" si="1"/>
        <v>-3</v>
      </c>
      <c r="DE15" s="264">
        <f t="shared" si="1"/>
        <v>-5</v>
      </c>
    </row>
    <row r="16" spans="1:109" x14ac:dyDescent="0.2">
      <c r="A16" t="str">
        <f t="shared" ref="A16:A22" si="2">A6</f>
        <v>DEY</v>
      </c>
      <c r="B16" s="262">
        <f t="shared" ref="B16:N16" si="3">B6 - B$3</f>
        <v>1</v>
      </c>
      <c r="C16" s="262">
        <f t="shared" si="3"/>
        <v>6</v>
      </c>
      <c r="D16" s="262">
        <f t="shared" si="3"/>
        <v>2</v>
      </c>
      <c r="E16" s="262">
        <f t="shared" si="3"/>
        <v>5</v>
      </c>
      <c r="F16" s="262">
        <f t="shared" si="3"/>
        <v>2</v>
      </c>
      <c r="G16" s="262">
        <f t="shared" si="3"/>
        <v>5</v>
      </c>
      <c r="H16" s="262">
        <f t="shared" si="3"/>
        <v>2</v>
      </c>
      <c r="I16" s="262">
        <f t="shared" si="3"/>
        <v>6</v>
      </c>
      <c r="J16" s="262">
        <f t="shared" si="3"/>
        <v>-5</v>
      </c>
      <c r="K16" s="262">
        <f t="shared" si="3"/>
        <v>-5</v>
      </c>
      <c r="L16" s="262">
        <f t="shared" si="3"/>
        <v>-4</v>
      </c>
      <c r="M16" s="262">
        <f t="shared" si="3"/>
        <v>-3</v>
      </c>
      <c r="N16" s="262">
        <f t="shared" si="3"/>
        <v>-5</v>
      </c>
      <c r="O16" s="262">
        <f t="shared" ref="O16:BZ16" si="4">O6 - O$3</f>
        <v>-4</v>
      </c>
      <c r="P16" s="262">
        <f t="shared" si="4"/>
        <v>-5</v>
      </c>
      <c r="Q16" s="262">
        <f t="shared" si="4"/>
        <v>-4</v>
      </c>
      <c r="R16" s="262">
        <f t="shared" si="4"/>
        <v>-3</v>
      </c>
      <c r="S16" s="262">
        <f t="shared" si="4"/>
        <v>-4</v>
      </c>
      <c r="T16" s="259">
        <f t="shared" si="4"/>
        <v>3</v>
      </c>
      <c r="U16" s="259">
        <f t="shared" si="4"/>
        <v>4</v>
      </c>
      <c r="V16" s="259">
        <f t="shared" si="4"/>
        <v>3</v>
      </c>
      <c r="W16" s="259">
        <f t="shared" si="4"/>
        <v>3</v>
      </c>
      <c r="X16" s="259">
        <f t="shared" si="4"/>
        <v>3</v>
      </c>
      <c r="Y16" s="259">
        <f t="shared" si="4"/>
        <v>-4</v>
      </c>
      <c r="Z16" s="259">
        <f t="shared" si="4"/>
        <v>-2</v>
      </c>
      <c r="AA16" s="259">
        <f t="shared" si="4"/>
        <v>-3</v>
      </c>
      <c r="AB16" s="259">
        <f t="shared" si="4"/>
        <v>4</v>
      </c>
      <c r="AC16" s="259">
        <f t="shared" si="4"/>
        <v>5</v>
      </c>
      <c r="AD16" s="259">
        <f t="shared" si="4"/>
        <v>4</v>
      </c>
      <c r="AE16" s="259">
        <f t="shared" si="4"/>
        <v>5</v>
      </c>
      <c r="AF16" s="259">
        <f t="shared" si="4"/>
        <v>5</v>
      </c>
      <c r="AG16" s="259">
        <f t="shared" si="4"/>
        <v>6</v>
      </c>
      <c r="AH16" s="259">
        <f t="shared" si="4"/>
        <v>4</v>
      </c>
      <c r="AI16" s="259">
        <f t="shared" si="4"/>
        <v>5</v>
      </c>
      <c r="AJ16" s="259">
        <f t="shared" si="4"/>
        <v>6</v>
      </c>
      <c r="AK16" s="259">
        <f t="shared" si="4"/>
        <v>5</v>
      </c>
      <c r="AL16" s="266">
        <f t="shared" si="4"/>
        <v>1</v>
      </c>
      <c r="AM16" s="266">
        <f t="shared" si="4"/>
        <v>0</v>
      </c>
      <c r="AN16" s="266">
        <f t="shared" si="4"/>
        <v>2</v>
      </c>
      <c r="AO16" s="266">
        <f t="shared" si="4"/>
        <v>0</v>
      </c>
      <c r="AP16" s="266">
        <f t="shared" si="4"/>
        <v>1</v>
      </c>
      <c r="AQ16" s="266">
        <f t="shared" si="4"/>
        <v>1</v>
      </c>
      <c r="AR16" s="266">
        <f t="shared" si="4"/>
        <v>2</v>
      </c>
      <c r="AS16" s="266">
        <f t="shared" si="4"/>
        <v>1</v>
      </c>
      <c r="AT16" s="266">
        <f t="shared" si="4"/>
        <v>1</v>
      </c>
      <c r="AU16" s="266">
        <f t="shared" si="4"/>
        <v>1</v>
      </c>
      <c r="AV16" s="266">
        <f t="shared" si="4"/>
        <v>1</v>
      </c>
      <c r="AW16" s="266">
        <f t="shared" si="4"/>
        <v>0</v>
      </c>
      <c r="AX16" s="266">
        <f t="shared" si="4"/>
        <v>1</v>
      </c>
      <c r="AY16" s="266">
        <f t="shared" si="4"/>
        <v>2</v>
      </c>
      <c r="AZ16" s="266">
        <f t="shared" si="4"/>
        <v>1</v>
      </c>
      <c r="BA16" s="266">
        <f t="shared" si="4"/>
        <v>1</v>
      </c>
      <c r="BB16" s="266">
        <f t="shared" si="4"/>
        <v>2</v>
      </c>
      <c r="BC16" s="266">
        <f t="shared" si="4"/>
        <v>0</v>
      </c>
      <c r="BD16" s="134">
        <f t="shared" si="4"/>
        <v>2</v>
      </c>
      <c r="BE16" s="134">
        <f t="shared" si="4"/>
        <v>1</v>
      </c>
      <c r="BF16" s="134">
        <f t="shared" si="4"/>
        <v>0</v>
      </c>
      <c r="BG16" s="134">
        <f t="shared" si="4"/>
        <v>2</v>
      </c>
      <c r="BH16" s="134">
        <f t="shared" si="4"/>
        <v>1</v>
      </c>
      <c r="BI16" s="134">
        <f t="shared" si="4"/>
        <v>0</v>
      </c>
      <c r="BJ16" s="134">
        <f t="shared" si="4"/>
        <v>1</v>
      </c>
      <c r="BK16" s="134">
        <f t="shared" si="4"/>
        <v>1</v>
      </c>
      <c r="BL16" s="134">
        <f t="shared" si="4"/>
        <v>1</v>
      </c>
      <c r="BM16" s="134">
        <f t="shared" si="4"/>
        <v>2</v>
      </c>
      <c r="BN16" s="134">
        <f t="shared" si="4"/>
        <v>1</v>
      </c>
      <c r="BO16" s="134">
        <f t="shared" si="4"/>
        <v>0</v>
      </c>
      <c r="BP16" s="134">
        <f t="shared" si="4"/>
        <v>2</v>
      </c>
      <c r="BQ16" s="134">
        <f t="shared" si="4"/>
        <v>1</v>
      </c>
      <c r="BR16" s="134">
        <f t="shared" si="4"/>
        <v>0</v>
      </c>
      <c r="BS16" s="134">
        <f t="shared" si="4"/>
        <v>1</v>
      </c>
      <c r="BT16" s="134">
        <f t="shared" si="4"/>
        <v>1</v>
      </c>
      <c r="BU16" s="134">
        <f t="shared" si="4"/>
        <v>1</v>
      </c>
      <c r="BV16" s="199">
        <f t="shared" si="4"/>
        <v>-2</v>
      </c>
      <c r="BW16" s="199">
        <f t="shared" si="4"/>
        <v>-3</v>
      </c>
      <c r="BX16" s="199">
        <f t="shared" si="4"/>
        <v>-4</v>
      </c>
      <c r="BY16" s="199">
        <f t="shared" si="4"/>
        <v>-2</v>
      </c>
      <c r="BZ16" s="199">
        <f t="shared" si="4"/>
        <v>-3</v>
      </c>
      <c r="CA16" s="199">
        <f t="shared" ref="CA16:DE16" si="5">CA6 - CA$3</f>
        <v>-4</v>
      </c>
      <c r="CB16" s="199">
        <f t="shared" si="5"/>
        <v>-3</v>
      </c>
      <c r="CC16" s="199">
        <f t="shared" si="5"/>
        <v>-3</v>
      </c>
      <c r="CD16" s="199">
        <f t="shared" si="5"/>
        <v>5</v>
      </c>
      <c r="CE16" s="199">
        <f t="shared" si="5"/>
        <v>6</v>
      </c>
      <c r="CF16" s="199">
        <f t="shared" si="5"/>
        <v>5</v>
      </c>
      <c r="CG16" s="199">
        <f t="shared" si="5"/>
        <v>4</v>
      </c>
      <c r="CH16" s="199">
        <f t="shared" si="5"/>
        <v>6</v>
      </c>
      <c r="CI16" s="199">
        <f t="shared" si="5"/>
        <v>5</v>
      </c>
      <c r="CJ16" s="199">
        <f t="shared" si="5"/>
        <v>4</v>
      </c>
      <c r="CK16" s="199">
        <f t="shared" si="5"/>
        <v>5</v>
      </c>
      <c r="CL16" s="199">
        <f t="shared" si="5"/>
        <v>5</v>
      </c>
      <c r="CM16" s="199">
        <f t="shared" si="5"/>
        <v>5</v>
      </c>
      <c r="CN16" s="264">
        <f t="shared" si="5"/>
        <v>-4</v>
      </c>
      <c r="CO16" s="264">
        <f t="shared" si="5"/>
        <v>1</v>
      </c>
      <c r="CP16" s="264">
        <f t="shared" si="5"/>
        <v>-3</v>
      </c>
      <c r="CQ16" s="264">
        <f t="shared" si="5"/>
        <v>-5</v>
      </c>
      <c r="CR16" s="264">
        <f t="shared" si="5"/>
        <v>-4</v>
      </c>
      <c r="CS16" s="264">
        <f t="shared" si="5"/>
        <v>-4</v>
      </c>
      <c r="CT16" s="264">
        <f t="shared" si="5"/>
        <v>-3</v>
      </c>
      <c r="CU16" s="264">
        <f t="shared" si="5"/>
        <v>-4</v>
      </c>
      <c r="CV16" s="264">
        <f t="shared" si="5"/>
        <v>-4</v>
      </c>
      <c r="CW16" s="264">
        <f t="shared" si="5"/>
        <v>-4</v>
      </c>
      <c r="CX16" s="264">
        <f t="shared" si="5"/>
        <v>-4</v>
      </c>
      <c r="CY16" s="264">
        <f t="shared" si="5"/>
        <v>-5</v>
      </c>
      <c r="CZ16" s="264">
        <f t="shared" si="5"/>
        <v>-4</v>
      </c>
      <c r="DA16" s="264">
        <f t="shared" si="5"/>
        <v>-3</v>
      </c>
      <c r="DB16" s="264">
        <f t="shared" si="5"/>
        <v>-4</v>
      </c>
      <c r="DC16" s="264">
        <f t="shared" si="5"/>
        <v>-4</v>
      </c>
      <c r="DD16" s="264">
        <f t="shared" si="5"/>
        <v>-3</v>
      </c>
      <c r="DE16" s="264">
        <f t="shared" si="5"/>
        <v>-5</v>
      </c>
    </row>
    <row r="17" spans="1:109" x14ac:dyDescent="0.2">
      <c r="A17" t="str">
        <f t="shared" si="2"/>
        <v>DONOVAN</v>
      </c>
      <c r="B17" s="262">
        <f t="shared" ref="B17:N17" si="6">B7 - B$3</f>
        <v>1</v>
      </c>
      <c r="C17" s="262">
        <f t="shared" si="6"/>
        <v>6</v>
      </c>
      <c r="D17" s="262">
        <f t="shared" si="6"/>
        <v>2</v>
      </c>
      <c r="E17" s="262">
        <f t="shared" si="6"/>
        <v>5</v>
      </c>
      <c r="F17" s="262">
        <f t="shared" si="6"/>
        <v>2</v>
      </c>
      <c r="G17" s="262">
        <f t="shared" si="6"/>
        <v>5</v>
      </c>
      <c r="H17" s="262">
        <f t="shared" si="6"/>
        <v>2</v>
      </c>
      <c r="I17" s="262">
        <f t="shared" si="6"/>
        <v>6</v>
      </c>
      <c r="J17" s="262">
        <f t="shared" si="6"/>
        <v>-5</v>
      </c>
      <c r="K17" s="262">
        <f t="shared" si="6"/>
        <v>-5</v>
      </c>
      <c r="L17" s="262">
        <f t="shared" si="6"/>
        <v>-4</v>
      </c>
      <c r="M17" s="262">
        <f t="shared" si="6"/>
        <v>-3</v>
      </c>
      <c r="N17" s="262">
        <f t="shared" si="6"/>
        <v>-5</v>
      </c>
      <c r="O17" s="262">
        <f t="shared" ref="O17:BZ17" si="7">O7 - O$3</f>
        <v>-4</v>
      </c>
      <c r="P17" s="262">
        <f t="shared" si="7"/>
        <v>-5</v>
      </c>
      <c r="Q17" s="262">
        <f t="shared" si="7"/>
        <v>-4</v>
      </c>
      <c r="R17" s="262">
        <f t="shared" si="7"/>
        <v>-3</v>
      </c>
      <c r="S17" s="262">
        <f t="shared" si="7"/>
        <v>-4</v>
      </c>
      <c r="T17" s="259">
        <f t="shared" si="7"/>
        <v>0</v>
      </c>
      <c r="U17" s="259">
        <f t="shared" si="7"/>
        <v>6</v>
      </c>
      <c r="V17" s="259">
        <f t="shared" si="7"/>
        <v>-1</v>
      </c>
      <c r="W17" s="259">
        <f t="shared" si="7"/>
        <v>-2</v>
      </c>
      <c r="X17" s="259">
        <f t="shared" si="7"/>
        <v>0</v>
      </c>
      <c r="Y17" s="259">
        <f t="shared" si="7"/>
        <v>-1</v>
      </c>
      <c r="Z17" s="259">
        <f t="shared" si="7"/>
        <v>1</v>
      </c>
      <c r="AA17" s="259">
        <f t="shared" si="7"/>
        <v>0</v>
      </c>
      <c r="AB17" s="259">
        <f t="shared" si="7"/>
        <v>-1</v>
      </c>
      <c r="AC17" s="259">
        <f t="shared" si="7"/>
        <v>0</v>
      </c>
      <c r="AD17" s="259">
        <f t="shared" si="7"/>
        <v>-1</v>
      </c>
      <c r="AE17" s="259">
        <f t="shared" si="7"/>
        <v>0</v>
      </c>
      <c r="AF17" s="259">
        <f t="shared" si="7"/>
        <v>0</v>
      </c>
      <c r="AG17" s="259">
        <f t="shared" si="7"/>
        <v>1</v>
      </c>
      <c r="AH17" s="259">
        <f t="shared" si="7"/>
        <v>-1</v>
      </c>
      <c r="AI17" s="259">
        <f t="shared" si="7"/>
        <v>0</v>
      </c>
      <c r="AJ17" s="259">
        <f t="shared" si="7"/>
        <v>1</v>
      </c>
      <c r="AK17" s="259">
        <f t="shared" si="7"/>
        <v>4</v>
      </c>
      <c r="AL17" s="266">
        <f t="shared" si="7"/>
        <v>1</v>
      </c>
      <c r="AM17" s="266">
        <f t="shared" si="7"/>
        <v>0</v>
      </c>
      <c r="AN17" s="266">
        <f t="shared" si="7"/>
        <v>2</v>
      </c>
      <c r="AO17" s="266">
        <f t="shared" si="7"/>
        <v>0</v>
      </c>
      <c r="AP17" s="266">
        <f t="shared" si="7"/>
        <v>1</v>
      </c>
      <c r="AQ17" s="266">
        <f t="shared" si="7"/>
        <v>1</v>
      </c>
      <c r="AR17" s="266">
        <f t="shared" si="7"/>
        <v>2</v>
      </c>
      <c r="AS17" s="266">
        <f t="shared" si="7"/>
        <v>1</v>
      </c>
      <c r="AT17" s="266">
        <f t="shared" si="7"/>
        <v>1</v>
      </c>
      <c r="AU17" s="266">
        <f t="shared" si="7"/>
        <v>1</v>
      </c>
      <c r="AV17" s="266">
        <f t="shared" si="7"/>
        <v>1</v>
      </c>
      <c r="AW17" s="266">
        <f t="shared" si="7"/>
        <v>0</v>
      </c>
      <c r="AX17" s="266">
        <f t="shared" si="7"/>
        <v>1</v>
      </c>
      <c r="AY17" s="266">
        <f t="shared" si="7"/>
        <v>2</v>
      </c>
      <c r="AZ17" s="266">
        <f t="shared" si="7"/>
        <v>1</v>
      </c>
      <c r="BA17" s="266">
        <f t="shared" si="7"/>
        <v>1</v>
      </c>
      <c r="BB17" s="266">
        <f t="shared" si="7"/>
        <v>2</v>
      </c>
      <c r="BC17" s="266">
        <f t="shared" si="7"/>
        <v>0</v>
      </c>
      <c r="BD17" s="134">
        <f t="shared" si="7"/>
        <v>3</v>
      </c>
      <c r="BE17" s="134">
        <f t="shared" si="7"/>
        <v>1</v>
      </c>
      <c r="BF17" s="134">
        <f t="shared" si="7"/>
        <v>0</v>
      </c>
      <c r="BG17" s="134">
        <f t="shared" si="7"/>
        <v>2</v>
      </c>
      <c r="BH17" s="134">
        <f t="shared" si="7"/>
        <v>1</v>
      </c>
      <c r="BI17" s="134">
        <f t="shared" si="7"/>
        <v>0</v>
      </c>
      <c r="BJ17" s="134">
        <f t="shared" si="7"/>
        <v>1</v>
      </c>
      <c r="BK17" s="134">
        <f t="shared" si="7"/>
        <v>1</v>
      </c>
      <c r="BL17" s="134">
        <f t="shared" si="7"/>
        <v>1</v>
      </c>
      <c r="BM17" s="134">
        <f t="shared" si="7"/>
        <v>2</v>
      </c>
      <c r="BN17" s="134">
        <f t="shared" si="7"/>
        <v>1</v>
      </c>
      <c r="BO17" s="134">
        <f t="shared" si="7"/>
        <v>0</v>
      </c>
      <c r="BP17" s="134">
        <f t="shared" si="7"/>
        <v>2</v>
      </c>
      <c r="BQ17" s="134">
        <f t="shared" si="7"/>
        <v>1</v>
      </c>
      <c r="BR17" s="134">
        <f t="shared" si="7"/>
        <v>0</v>
      </c>
      <c r="BS17" s="134">
        <f t="shared" si="7"/>
        <v>1</v>
      </c>
      <c r="BT17" s="134">
        <f t="shared" si="7"/>
        <v>1</v>
      </c>
      <c r="BU17" s="134">
        <f t="shared" si="7"/>
        <v>1</v>
      </c>
      <c r="BV17" s="199">
        <f t="shared" si="7"/>
        <v>1</v>
      </c>
      <c r="BW17" s="199">
        <f t="shared" si="7"/>
        <v>5</v>
      </c>
      <c r="BX17" s="199">
        <f t="shared" si="7"/>
        <v>-2</v>
      </c>
      <c r="BY17" s="199">
        <f t="shared" si="7"/>
        <v>-1</v>
      </c>
      <c r="BZ17" s="199">
        <f t="shared" si="7"/>
        <v>0</v>
      </c>
      <c r="CA17" s="199">
        <f t="shared" ref="CA17:DE17" si="8">CA7 - CA$3</f>
        <v>-1</v>
      </c>
      <c r="CB17" s="199">
        <f t="shared" si="8"/>
        <v>0</v>
      </c>
      <c r="CC17" s="199">
        <f t="shared" si="8"/>
        <v>0</v>
      </c>
      <c r="CD17" s="199">
        <f t="shared" si="8"/>
        <v>0</v>
      </c>
      <c r="CE17" s="199">
        <f t="shared" si="8"/>
        <v>1</v>
      </c>
      <c r="CF17" s="199">
        <f t="shared" si="8"/>
        <v>0</v>
      </c>
      <c r="CG17" s="199">
        <f t="shared" si="8"/>
        <v>-1</v>
      </c>
      <c r="CH17" s="199">
        <f t="shared" si="8"/>
        <v>1</v>
      </c>
      <c r="CI17" s="199">
        <f t="shared" si="8"/>
        <v>0</v>
      </c>
      <c r="CJ17" s="199">
        <f t="shared" si="8"/>
        <v>-1</v>
      </c>
      <c r="CK17" s="199">
        <f t="shared" si="8"/>
        <v>0</v>
      </c>
      <c r="CL17" s="199">
        <f t="shared" si="8"/>
        <v>0</v>
      </c>
      <c r="CM17" s="199">
        <f t="shared" si="8"/>
        <v>4</v>
      </c>
      <c r="CN17" s="264">
        <f t="shared" si="8"/>
        <v>-4</v>
      </c>
      <c r="CO17" s="264">
        <f t="shared" si="8"/>
        <v>-5</v>
      </c>
      <c r="CP17" s="264">
        <f t="shared" si="8"/>
        <v>2</v>
      </c>
      <c r="CQ17" s="264">
        <f t="shared" si="8"/>
        <v>-5</v>
      </c>
      <c r="CR17" s="264">
        <f t="shared" si="8"/>
        <v>-4</v>
      </c>
      <c r="CS17" s="264">
        <f t="shared" si="8"/>
        <v>-4</v>
      </c>
      <c r="CT17" s="264">
        <f t="shared" si="8"/>
        <v>-3</v>
      </c>
      <c r="CU17" s="264">
        <f t="shared" si="8"/>
        <v>-4</v>
      </c>
      <c r="CV17" s="264">
        <f t="shared" si="8"/>
        <v>-4</v>
      </c>
      <c r="CW17" s="264">
        <f t="shared" si="8"/>
        <v>-4</v>
      </c>
      <c r="CX17" s="264">
        <f t="shared" si="8"/>
        <v>-4</v>
      </c>
      <c r="CY17" s="264">
        <f t="shared" si="8"/>
        <v>-5</v>
      </c>
      <c r="CZ17" s="264">
        <f t="shared" si="8"/>
        <v>-4</v>
      </c>
      <c r="DA17" s="264">
        <f t="shared" si="8"/>
        <v>-3</v>
      </c>
      <c r="DB17" s="264">
        <f t="shared" si="8"/>
        <v>-4</v>
      </c>
      <c r="DC17" s="264">
        <f t="shared" si="8"/>
        <v>-4</v>
      </c>
      <c r="DD17" s="264">
        <f t="shared" si="8"/>
        <v>-3</v>
      </c>
      <c r="DE17" s="264">
        <f t="shared" si="8"/>
        <v>-5</v>
      </c>
    </row>
    <row r="18" spans="1:109" x14ac:dyDescent="0.2">
      <c r="A18" t="str">
        <f t="shared" si="2"/>
        <v>FINDLAY</v>
      </c>
      <c r="B18" s="262">
        <f t="shared" ref="B18:N18" si="9">B8 - B$3</f>
        <v>1</v>
      </c>
      <c r="C18" s="262">
        <f>C8 - C$3</f>
        <v>1</v>
      </c>
      <c r="D18" s="262">
        <f t="shared" si="9"/>
        <v>2</v>
      </c>
      <c r="E18" s="262">
        <f t="shared" si="9"/>
        <v>0</v>
      </c>
      <c r="F18" s="262">
        <f t="shared" si="9"/>
        <v>2</v>
      </c>
      <c r="G18" s="262">
        <f t="shared" si="9"/>
        <v>5</v>
      </c>
      <c r="H18" s="262">
        <f t="shared" si="9"/>
        <v>2</v>
      </c>
      <c r="I18" s="262">
        <f t="shared" si="9"/>
        <v>1</v>
      </c>
      <c r="J18" s="262">
        <f t="shared" si="9"/>
        <v>-5</v>
      </c>
      <c r="K18" s="262">
        <f t="shared" si="9"/>
        <v>-5</v>
      </c>
      <c r="L18" s="262">
        <f t="shared" si="9"/>
        <v>-4</v>
      </c>
      <c r="M18" s="262">
        <f t="shared" si="9"/>
        <v>-3</v>
      </c>
      <c r="N18" s="262">
        <f t="shared" si="9"/>
        <v>-5</v>
      </c>
      <c r="O18" s="262">
        <f t="shared" ref="O18:BZ18" si="10">O8 - O$3</f>
        <v>-4</v>
      </c>
      <c r="P18" s="262">
        <f t="shared" si="10"/>
        <v>-5</v>
      </c>
      <c r="Q18" s="262">
        <f t="shared" si="10"/>
        <v>-4</v>
      </c>
      <c r="R18" s="262">
        <f t="shared" si="10"/>
        <v>-3</v>
      </c>
      <c r="S18" s="262">
        <f t="shared" si="10"/>
        <v>-4</v>
      </c>
      <c r="T18" s="259">
        <f t="shared" si="10"/>
        <v>-2</v>
      </c>
      <c r="U18" s="259">
        <f t="shared" si="10"/>
        <v>0</v>
      </c>
      <c r="V18" s="259">
        <f t="shared" si="10"/>
        <v>2</v>
      </c>
      <c r="W18" s="259">
        <f t="shared" si="10"/>
        <v>-1</v>
      </c>
      <c r="X18" s="259">
        <f t="shared" si="10"/>
        <v>-2</v>
      </c>
      <c r="Y18" s="259">
        <f t="shared" si="10"/>
        <v>-3</v>
      </c>
      <c r="Z18" s="259">
        <f t="shared" si="10"/>
        <v>-1</v>
      </c>
      <c r="AA18" s="259">
        <f t="shared" si="10"/>
        <v>-3</v>
      </c>
      <c r="AB18" s="259">
        <f t="shared" si="10"/>
        <v>-1</v>
      </c>
      <c r="AC18" s="259">
        <f t="shared" si="10"/>
        <v>-2</v>
      </c>
      <c r="AD18" s="259">
        <f t="shared" si="10"/>
        <v>-3</v>
      </c>
      <c r="AE18" s="259">
        <f t="shared" si="10"/>
        <v>-2</v>
      </c>
      <c r="AF18" s="259">
        <f t="shared" si="10"/>
        <v>-2</v>
      </c>
      <c r="AG18" s="259">
        <f t="shared" si="10"/>
        <v>-1</v>
      </c>
      <c r="AH18" s="259">
        <f t="shared" si="10"/>
        <v>1</v>
      </c>
      <c r="AI18" s="259">
        <f t="shared" si="10"/>
        <v>2</v>
      </c>
      <c r="AJ18" s="259">
        <f t="shared" si="10"/>
        <v>3</v>
      </c>
      <c r="AK18" s="259">
        <f t="shared" si="10"/>
        <v>3</v>
      </c>
      <c r="AL18" s="266">
        <f t="shared" si="10"/>
        <v>1</v>
      </c>
      <c r="AM18" s="266">
        <f t="shared" si="10"/>
        <v>0</v>
      </c>
      <c r="AN18" s="266">
        <f t="shared" si="10"/>
        <v>2</v>
      </c>
      <c r="AO18" s="266">
        <f t="shared" si="10"/>
        <v>0</v>
      </c>
      <c r="AP18" s="266">
        <f t="shared" si="10"/>
        <v>1</v>
      </c>
      <c r="AQ18" s="266">
        <f t="shared" si="10"/>
        <v>1</v>
      </c>
      <c r="AR18" s="266">
        <f t="shared" si="10"/>
        <v>2</v>
      </c>
      <c r="AS18" s="266">
        <f t="shared" si="10"/>
        <v>1</v>
      </c>
      <c r="AT18" s="266">
        <f t="shared" si="10"/>
        <v>1</v>
      </c>
      <c r="AU18" s="266">
        <f t="shared" si="10"/>
        <v>1</v>
      </c>
      <c r="AV18" s="266">
        <f t="shared" si="10"/>
        <v>1</v>
      </c>
      <c r="AW18" s="266">
        <f t="shared" si="10"/>
        <v>0</v>
      </c>
      <c r="AX18" s="266">
        <f t="shared" si="10"/>
        <v>1</v>
      </c>
      <c r="AY18" s="266">
        <f t="shared" si="10"/>
        <v>2</v>
      </c>
      <c r="AZ18" s="266">
        <f t="shared" si="10"/>
        <v>1</v>
      </c>
      <c r="BA18" s="266">
        <f t="shared" si="10"/>
        <v>1</v>
      </c>
      <c r="BB18" s="266">
        <f t="shared" si="10"/>
        <v>2</v>
      </c>
      <c r="BC18" s="266">
        <f t="shared" si="10"/>
        <v>0</v>
      </c>
      <c r="BD18" s="134">
        <f t="shared" si="10"/>
        <v>4</v>
      </c>
      <c r="BE18" s="134">
        <f t="shared" si="10"/>
        <v>1</v>
      </c>
      <c r="BF18" s="134">
        <f t="shared" si="10"/>
        <v>0</v>
      </c>
      <c r="BG18" s="134">
        <f t="shared" si="10"/>
        <v>2</v>
      </c>
      <c r="BH18" s="134">
        <f t="shared" si="10"/>
        <v>1</v>
      </c>
      <c r="BI18" s="134">
        <f t="shared" si="10"/>
        <v>0</v>
      </c>
      <c r="BJ18" s="134">
        <f t="shared" si="10"/>
        <v>1</v>
      </c>
      <c r="BK18" s="134">
        <f t="shared" si="10"/>
        <v>1</v>
      </c>
      <c r="BL18" s="134">
        <f t="shared" si="10"/>
        <v>1</v>
      </c>
      <c r="BM18" s="134">
        <f t="shared" si="10"/>
        <v>2</v>
      </c>
      <c r="BN18" s="134">
        <f t="shared" si="10"/>
        <v>1</v>
      </c>
      <c r="BO18" s="134">
        <f t="shared" si="10"/>
        <v>0</v>
      </c>
      <c r="BP18" s="134">
        <f t="shared" si="10"/>
        <v>2</v>
      </c>
      <c r="BQ18" s="134">
        <f t="shared" si="10"/>
        <v>1</v>
      </c>
      <c r="BR18" s="134">
        <f t="shared" si="10"/>
        <v>0</v>
      </c>
      <c r="BS18" s="134">
        <f t="shared" si="10"/>
        <v>1</v>
      </c>
      <c r="BT18" s="134">
        <f t="shared" si="10"/>
        <v>1</v>
      </c>
      <c r="BU18" s="134">
        <f t="shared" si="10"/>
        <v>1</v>
      </c>
      <c r="BV18" s="199">
        <f t="shared" si="10"/>
        <v>2</v>
      </c>
      <c r="BW18" s="199">
        <f t="shared" si="10"/>
        <v>4</v>
      </c>
      <c r="BX18" s="199">
        <f t="shared" si="10"/>
        <v>0</v>
      </c>
      <c r="BY18" s="199">
        <f t="shared" si="10"/>
        <v>2</v>
      </c>
      <c r="BZ18" s="199">
        <f t="shared" si="10"/>
        <v>1</v>
      </c>
      <c r="CA18" s="199">
        <f t="shared" ref="CA18:DE18" si="11">CA8 - CA$3</f>
        <v>0</v>
      </c>
      <c r="CB18" s="199">
        <f t="shared" si="11"/>
        <v>-3</v>
      </c>
      <c r="CC18" s="199">
        <f t="shared" si="11"/>
        <v>-3</v>
      </c>
      <c r="CD18" s="199">
        <f t="shared" si="11"/>
        <v>-3</v>
      </c>
      <c r="CE18" s="199">
        <f t="shared" si="11"/>
        <v>-2</v>
      </c>
      <c r="CF18" s="199">
        <f t="shared" si="11"/>
        <v>-3</v>
      </c>
      <c r="CG18" s="199">
        <f t="shared" si="11"/>
        <v>-4</v>
      </c>
      <c r="CH18" s="199">
        <f t="shared" si="11"/>
        <v>-2</v>
      </c>
      <c r="CI18" s="199">
        <f t="shared" si="11"/>
        <v>-3</v>
      </c>
      <c r="CJ18" s="199">
        <f t="shared" si="11"/>
        <v>0</v>
      </c>
      <c r="CK18" s="199">
        <f t="shared" si="11"/>
        <v>1</v>
      </c>
      <c r="CL18" s="199">
        <f t="shared" si="11"/>
        <v>1</v>
      </c>
      <c r="CM18" s="199">
        <f t="shared" si="11"/>
        <v>3</v>
      </c>
      <c r="CN18" s="264">
        <f t="shared" si="11"/>
        <v>-4</v>
      </c>
      <c r="CO18" s="264">
        <f t="shared" si="11"/>
        <v>-5</v>
      </c>
      <c r="CP18" s="264">
        <f t="shared" si="11"/>
        <v>-3</v>
      </c>
      <c r="CQ18" s="264">
        <f t="shared" si="11"/>
        <v>-1</v>
      </c>
      <c r="CR18" s="264">
        <f t="shared" si="11"/>
        <v>-4</v>
      </c>
      <c r="CS18" s="264">
        <f t="shared" si="11"/>
        <v>-4</v>
      </c>
      <c r="CT18" s="264">
        <f t="shared" si="11"/>
        <v>-3</v>
      </c>
      <c r="CU18" s="264">
        <f t="shared" si="11"/>
        <v>-4</v>
      </c>
      <c r="CV18" s="264">
        <f t="shared" si="11"/>
        <v>-4</v>
      </c>
      <c r="CW18" s="264">
        <f t="shared" si="11"/>
        <v>-4</v>
      </c>
      <c r="CX18" s="264">
        <f t="shared" si="11"/>
        <v>-4</v>
      </c>
      <c r="CY18" s="264">
        <f t="shared" si="11"/>
        <v>-5</v>
      </c>
      <c r="CZ18" s="264">
        <f t="shared" si="11"/>
        <v>-4</v>
      </c>
      <c r="DA18" s="264">
        <f t="shared" si="11"/>
        <v>-3</v>
      </c>
      <c r="DB18" s="264">
        <f t="shared" si="11"/>
        <v>-4</v>
      </c>
      <c r="DC18" s="264">
        <f t="shared" si="11"/>
        <v>-4</v>
      </c>
      <c r="DD18" s="264">
        <f t="shared" si="11"/>
        <v>-3</v>
      </c>
      <c r="DE18" s="264">
        <f t="shared" si="11"/>
        <v>-5</v>
      </c>
    </row>
    <row r="19" spans="1:109" x14ac:dyDescent="0.2">
      <c r="A19" t="str">
        <f t="shared" si="2"/>
        <v>HOLLANDS</v>
      </c>
      <c r="B19" s="262">
        <f t="shared" ref="B19:N19" si="12">B9 - B$3</f>
        <v>2</v>
      </c>
      <c r="C19" s="262">
        <f t="shared" si="12"/>
        <v>1</v>
      </c>
      <c r="D19" s="262">
        <f t="shared" si="12"/>
        <v>2</v>
      </c>
      <c r="E19" s="262">
        <f t="shared" si="12"/>
        <v>5</v>
      </c>
      <c r="F19" s="262">
        <f t="shared" si="12"/>
        <v>2</v>
      </c>
      <c r="G19" s="262">
        <f t="shared" si="12"/>
        <v>5</v>
      </c>
      <c r="H19" s="262">
        <f t="shared" si="12"/>
        <v>2</v>
      </c>
      <c r="I19" s="262">
        <f t="shared" si="12"/>
        <v>6</v>
      </c>
      <c r="J19" s="262">
        <f t="shared" si="12"/>
        <v>-5</v>
      </c>
      <c r="K19" s="262">
        <f t="shared" si="12"/>
        <v>-5</v>
      </c>
      <c r="L19" s="262">
        <f t="shared" si="12"/>
        <v>-4</v>
      </c>
      <c r="M19" s="262">
        <f t="shared" si="12"/>
        <v>-3</v>
      </c>
      <c r="N19" s="262">
        <f t="shared" si="12"/>
        <v>-5</v>
      </c>
      <c r="O19" s="262">
        <f t="shared" ref="O19:BZ19" si="13">O9 - O$3</f>
        <v>-4</v>
      </c>
      <c r="P19" s="262">
        <f t="shared" si="13"/>
        <v>-5</v>
      </c>
      <c r="Q19" s="262">
        <f t="shared" si="13"/>
        <v>-4</v>
      </c>
      <c r="R19" s="262">
        <f t="shared" si="13"/>
        <v>-3</v>
      </c>
      <c r="S19" s="262">
        <f t="shared" si="13"/>
        <v>-4</v>
      </c>
      <c r="T19" s="259">
        <f t="shared" si="13"/>
        <v>-2</v>
      </c>
      <c r="U19" s="259">
        <f t="shared" si="13"/>
        <v>0</v>
      </c>
      <c r="V19" s="259">
        <f t="shared" si="13"/>
        <v>2</v>
      </c>
      <c r="W19" s="259">
        <f t="shared" si="13"/>
        <v>-1</v>
      </c>
      <c r="X19" s="259">
        <f t="shared" si="13"/>
        <v>-2</v>
      </c>
      <c r="Y19" s="259">
        <f t="shared" si="13"/>
        <v>-3</v>
      </c>
      <c r="Z19" s="259">
        <f t="shared" si="13"/>
        <v>-1</v>
      </c>
      <c r="AA19" s="259">
        <f t="shared" si="13"/>
        <v>-3</v>
      </c>
      <c r="AB19" s="259">
        <f t="shared" si="13"/>
        <v>-1</v>
      </c>
      <c r="AC19" s="259">
        <f t="shared" si="13"/>
        <v>-2</v>
      </c>
      <c r="AD19" s="259">
        <f t="shared" si="13"/>
        <v>-3</v>
      </c>
      <c r="AE19" s="259">
        <f t="shared" si="13"/>
        <v>-2</v>
      </c>
      <c r="AF19" s="259">
        <f t="shared" si="13"/>
        <v>-2</v>
      </c>
      <c r="AG19" s="259">
        <f t="shared" si="13"/>
        <v>-1</v>
      </c>
      <c r="AH19" s="259">
        <f t="shared" si="13"/>
        <v>1</v>
      </c>
      <c r="AI19" s="259">
        <f t="shared" si="13"/>
        <v>2</v>
      </c>
      <c r="AJ19" s="259">
        <f t="shared" si="13"/>
        <v>3</v>
      </c>
      <c r="AK19" s="259">
        <f t="shared" si="13"/>
        <v>3</v>
      </c>
      <c r="AL19" s="266">
        <f t="shared" si="13"/>
        <v>1</v>
      </c>
      <c r="AM19" s="266">
        <f t="shared" si="13"/>
        <v>0</v>
      </c>
      <c r="AN19" s="266">
        <f t="shared" si="13"/>
        <v>2</v>
      </c>
      <c r="AO19" s="266">
        <f t="shared" si="13"/>
        <v>0</v>
      </c>
      <c r="AP19" s="266">
        <f t="shared" si="13"/>
        <v>1</v>
      </c>
      <c r="AQ19" s="266">
        <f t="shared" si="13"/>
        <v>1</v>
      </c>
      <c r="AR19" s="266">
        <f t="shared" si="13"/>
        <v>2</v>
      </c>
      <c r="AS19" s="266">
        <f t="shared" si="13"/>
        <v>1</v>
      </c>
      <c r="AT19" s="266">
        <f t="shared" si="13"/>
        <v>1</v>
      </c>
      <c r="AU19" s="266">
        <f t="shared" si="13"/>
        <v>1</v>
      </c>
      <c r="AV19" s="266">
        <f t="shared" si="13"/>
        <v>1</v>
      </c>
      <c r="AW19" s="266">
        <f t="shared" si="13"/>
        <v>0</v>
      </c>
      <c r="AX19" s="266">
        <f t="shared" si="13"/>
        <v>1</v>
      </c>
      <c r="AY19" s="266">
        <f t="shared" si="13"/>
        <v>2</v>
      </c>
      <c r="AZ19" s="266">
        <f t="shared" si="13"/>
        <v>1</v>
      </c>
      <c r="BA19" s="266">
        <f t="shared" si="13"/>
        <v>1</v>
      </c>
      <c r="BB19" s="266">
        <f t="shared" si="13"/>
        <v>2</v>
      </c>
      <c r="BC19" s="266">
        <f t="shared" si="13"/>
        <v>0</v>
      </c>
      <c r="BD19" s="134">
        <f t="shared" si="13"/>
        <v>5</v>
      </c>
      <c r="BE19" s="134">
        <f t="shared" si="13"/>
        <v>1</v>
      </c>
      <c r="BF19" s="134">
        <f t="shared" si="13"/>
        <v>0</v>
      </c>
      <c r="BG19" s="134">
        <f t="shared" si="13"/>
        <v>2</v>
      </c>
      <c r="BH19" s="134">
        <f t="shared" si="13"/>
        <v>1</v>
      </c>
      <c r="BI19" s="134">
        <f t="shared" si="13"/>
        <v>0</v>
      </c>
      <c r="BJ19" s="134">
        <f t="shared" si="13"/>
        <v>1</v>
      </c>
      <c r="BK19" s="134">
        <f t="shared" si="13"/>
        <v>1</v>
      </c>
      <c r="BL19" s="134">
        <f t="shared" si="13"/>
        <v>1</v>
      </c>
      <c r="BM19" s="134">
        <f t="shared" si="13"/>
        <v>2</v>
      </c>
      <c r="BN19" s="134">
        <f t="shared" si="13"/>
        <v>1</v>
      </c>
      <c r="BO19" s="134">
        <f t="shared" si="13"/>
        <v>0</v>
      </c>
      <c r="BP19" s="134">
        <f t="shared" si="13"/>
        <v>2</v>
      </c>
      <c r="BQ19" s="134">
        <f t="shared" si="13"/>
        <v>1</v>
      </c>
      <c r="BR19" s="134">
        <f t="shared" si="13"/>
        <v>0</v>
      </c>
      <c r="BS19" s="134">
        <f t="shared" si="13"/>
        <v>1</v>
      </c>
      <c r="BT19" s="134">
        <f t="shared" si="13"/>
        <v>1</v>
      </c>
      <c r="BU19" s="134">
        <f t="shared" si="13"/>
        <v>1</v>
      </c>
      <c r="BV19" s="199">
        <f t="shared" si="13"/>
        <v>-1</v>
      </c>
      <c r="BW19" s="199">
        <f t="shared" si="13"/>
        <v>-1</v>
      </c>
      <c r="BX19" s="199">
        <f t="shared" si="13"/>
        <v>1</v>
      </c>
      <c r="BY19" s="199">
        <f t="shared" si="13"/>
        <v>0</v>
      </c>
      <c r="BZ19" s="199">
        <f t="shared" si="13"/>
        <v>-2</v>
      </c>
      <c r="CA19" s="199">
        <f t="shared" ref="CA19:DE19" si="14">CA9 - CA$3</f>
        <v>-3</v>
      </c>
      <c r="CB19" s="199">
        <f t="shared" si="14"/>
        <v>-2</v>
      </c>
      <c r="CC19" s="199">
        <f t="shared" si="14"/>
        <v>-3</v>
      </c>
      <c r="CD19" s="199">
        <f t="shared" si="14"/>
        <v>0</v>
      </c>
      <c r="CE19" s="199">
        <f t="shared" si="14"/>
        <v>-1</v>
      </c>
      <c r="CF19" s="199">
        <f t="shared" si="14"/>
        <v>-2</v>
      </c>
      <c r="CG19" s="199">
        <f t="shared" si="14"/>
        <v>-3</v>
      </c>
      <c r="CH19" s="199">
        <f t="shared" si="14"/>
        <v>-1</v>
      </c>
      <c r="CI19" s="199">
        <f t="shared" si="14"/>
        <v>-2</v>
      </c>
      <c r="CJ19" s="199">
        <f t="shared" si="14"/>
        <v>1</v>
      </c>
      <c r="CK19" s="199">
        <f t="shared" si="14"/>
        <v>2</v>
      </c>
      <c r="CL19" s="199">
        <f t="shared" si="14"/>
        <v>2</v>
      </c>
      <c r="CM19" s="199">
        <f t="shared" si="14"/>
        <v>3</v>
      </c>
      <c r="CN19" s="264">
        <f t="shared" si="14"/>
        <v>-4</v>
      </c>
      <c r="CO19" s="264">
        <f t="shared" si="14"/>
        <v>-5</v>
      </c>
      <c r="CP19" s="264">
        <f t="shared" si="14"/>
        <v>-3</v>
      </c>
      <c r="CQ19" s="264">
        <f t="shared" si="14"/>
        <v>-5</v>
      </c>
      <c r="CR19" s="264">
        <f t="shared" si="14"/>
        <v>-1</v>
      </c>
      <c r="CS19" s="264">
        <f t="shared" si="14"/>
        <v>-4</v>
      </c>
      <c r="CT19" s="264">
        <f t="shared" si="14"/>
        <v>-3</v>
      </c>
      <c r="CU19" s="264">
        <f t="shared" si="14"/>
        <v>-4</v>
      </c>
      <c r="CV19" s="264">
        <f t="shared" si="14"/>
        <v>-4</v>
      </c>
      <c r="CW19" s="264">
        <f t="shared" si="14"/>
        <v>-4</v>
      </c>
      <c r="CX19" s="264">
        <f t="shared" si="14"/>
        <v>-4</v>
      </c>
      <c r="CY19" s="264">
        <f t="shared" si="14"/>
        <v>-5</v>
      </c>
      <c r="CZ19" s="264">
        <f t="shared" si="14"/>
        <v>-4</v>
      </c>
      <c r="DA19" s="264">
        <f t="shared" si="14"/>
        <v>-3</v>
      </c>
      <c r="DB19" s="264">
        <f t="shared" si="14"/>
        <v>-4</v>
      </c>
      <c r="DC19" s="264">
        <f t="shared" si="14"/>
        <v>-4</v>
      </c>
      <c r="DD19" s="264">
        <f t="shared" si="14"/>
        <v>-3</v>
      </c>
      <c r="DE19" s="264">
        <f t="shared" si="14"/>
        <v>-5</v>
      </c>
    </row>
    <row r="20" spans="1:109" x14ac:dyDescent="0.2">
      <c r="A20" t="str">
        <f t="shared" si="2"/>
        <v>LAING</v>
      </c>
      <c r="B20" s="262">
        <f t="shared" ref="B20:N20" si="15">B10 - B$3</f>
        <v>2</v>
      </c>
      <c r="C20" s="262">
        <f t="shared" si="15"/>
        <v>6</v>
      </c>
      <c r="D20" s="262">
        <f t="shared" si="15"/>
        <v>2</v>
      </c>
      <c r="E20" s="262">
        <f t="shared" si="15"/>
        <v>5</v>
      </c>
      <c r="F20" s="262">
        <f t="shared" si="15"/>
        <v>2</v>
      </c>
      <c r="G20" s="262">
        <f t="shared" si="15"/>
        <v>5</v>
      </c>
      <c r="H20" s="262">
        <f t="shared" si="15"/>
        <v>2</v>
      </c>
      <c r="I20" s="262">
        <f t="shared" si="15"/>
        <v>6</v>
      </c>
      <c r="J20" s="262">
        <f t="shared" si="15"/>
        <v>-5</v>
      </c>
      <c r="K20" s="262">
        <f t="shared" si="15"/>
        <v>-5</v>
      </c>
      <c r="L20" s="262">
        <f t="shared" si="15"/>
        <v>-4</v>
      </c>
      <c r="M20" s="262">
        <f t="shared" si="15"/>
        <v>-3</v>
      </c>
      <c r="N20" s="262">
        <f t="shared" si="15"/>
        <v>-5</v>
      </c>
      <c r="O20" s="262">
        <f t="shared" ref="O20:BZ20" si="16">O10 - O$3</f>
        <v>-4</v>
      </c>
      <c r="P20" s="262">
        <f t="shared" si="16"/>
        <v>-5</v>
      </c>
      <c r="Q20" s="262">
        <f t="shared" si="16"/>
        <v>-4</v>
      </c>
      <c r="R20" s="262">
        <f t="shared" si="16"/>
        <v>-3</v>
      </c>
      <c r="S20" s="262">
        <f t="shared" si="16"/>
        <v>-4</v>
      </c>
      <c r="T20" s="259">
        <f t="shared" si="16"/>
        <v>3</v>
      </c>
      <c r="U20" s="259">
        <f t="shared" si="16"/>
        <v>3</v>
      </c>
      <c r="V20" s="259">
        <f t="shared" si="16"/>
        <v>0</v>
      </c>
      <c r="W20" s="259">
        <f t="shared" si="16"/>
        <v>0</v>
      </c>
      <c r="X20" s="259">
        <f t="shared" si="16"/>
        <v>-1</v>
      </c>
      <c r="Y20" s="259">
        <f t="shared" si="16"/>
        <v>-1</v>
      </c>
      <c r="Z20" s="259">
        <f t="shared" si="16"/>
        <v>4</v>
      </c>
      <c r="AA20" s="259">
        <f t="shared" si="16"/>
        <v>-2</v>
      </c>
      <c r="AB20" s="259">
        <f t="shared" si="16"/>
        <v>-1</v>
      </c>
      <c r="AC20" s="259">
        <f t="shared" si="16"/>
        <v>1</v>
      </c>
      <c r="AD20" s="259">
        <f t="shared" si="16"/>
        <v>0</v>
      </c>
      <c r="AE20" s="259">
        <f t="shared" si="16"/>
        <v>1</v>
      </c>
      <c r="AF20" s="259">
        <f t="shared" si="16"/>
        <v>1</v>
      </c>
      <c r="AG20" s="259">
        <f t="shared" si="16"/>
        <v>2</v>
      </c>
      <c r="AH20" s="259">
        <f t="shared" si="16"/>
        <v>0</v>
      </c>
      <c r="AI20" s="259">
        <f t="shared" si="16"/>
        <v>2</v>
      </c>
      <c r="AJ20" s="259">
        <f t="shared" si="16"/>
        <v>4</v>
      </c>
      <c r="AK20" s="259">
        <f t="shared" si="16"/>
        <v>2</v>
      </c>
      <c r="AL20" s="266">
        <f t="shared" si="16"/>
        <v>1</v>
      </c>
      <c r="AM20" s="266">
        <f t="shared" si="16"/>
        <v>0</v>
      </c>
      <c r="AN20" s="266">
        <f t="shared" si="16"/>
        <v>2</v>
      </c>
      <c r="AO20" s="266">
        <f t="shared" si="16"/>
        <v>0</v>
      </c>
      <c r="AP20" s="266">
        <f t="shared" si="16"/>
        <v>1</v>
      </c>
      <c r="AQ20" s="266">
        <f t="shared" si="16"/>
        <v>1</v>
      </c>
      <c r="AR20" s="266">
        <f t="shared" si="16"/>
        <v>2</v>
      </c>
      <c r="AS20" s="266">
        <f t="shared" si="16"/>
        <v>1</v>
      </c>
      <c r="AT20" s="266">
        <f t="shared" si="16"/>
        <v>1</v>
      </c>
      <c r="AU20" s="266">
        <f t="shared" si="16"/>
        <v>1</v>
      </c>
      <c r="AV20" s="266">
        <f t="shared" si="16"/>
        <v>1</v>
      </c>
      <c r="AW20" s="266">
        <f t="shared" si="16"/>
        <v>0</v>
      </c>
      <c r="AX20" s="266">
        <f t="shared" si="16"/>
        <v>1</v>
      </c>
      <c r="AY20" s="266">
        <f t="shared" si="16"/>
        <v>2</v>
      </c>
      <c r="AZ20" s="266">
        <f t="shared" si="16"/>
        <v>1</v>
      </c>
      <c r="BA20" s="266">
        <f t="shared" si="16"/>
        <v>1</v>
      </c>
      <c r="BB20" s="266">
        <f t="shared" si="16"/>
        <v>2</v>
      </c>
      <c r="BC20" s="266">
        <f t="shared" si="16"/>
        <v>0</v>
      </c>
      <c r="BD20" s="134">
        <f t="shared" si="16"/>
        <v>6</v>
      </c>
      <c r="BE20" s="134">
        <f t="shared" si="16"/>
        <v>1</v>
      </c>
      <c r="BF20" s="134">
        <f t="shared" si="16"/>
        <v>0</v>
      </c>
      <c r="BG20" s="134">
        <f t="shared" si="16"/>
        <v>2</v>
      </c>
      <c r="BH20" s="134">
        <f t="shared" si="16"/>
        <v>1</v>
      </c>
      <c r="BI20" s="134">
        <f t="shared" si="16"/>
        <v>0</v>
      </c>
      <c r="BJ20" s="134">
        <f t="shared" si="16"/>
        <v>1</v>
      </c>
      <c r="BK20" s="134">
        <f t="shared" si="16"/>
        <v>1</v>
      </c>
      <c r="BL20" s="134">
        <f t="shared" si="16"/>
        <v>1</v>
      </c>
      <c r="BM20" s="134">
        <f t="shared" si="16"/>
        <v>2</v>
      </c>
      <c r="BN20" s="134">
        <f t="shared" si="16"/>
        <v>1</v>
      </c>
      <c r="BO20" s="134">
        <f t="shared" si="16"/>
        <v>0</v>
      </c>
      <c r="BP20" s="134">
        <f t="shared" si="16"/>
        <v>2</v>
      </c>
      <c r="BQ20" s="134">
        <f t="shared" si="16"/>
        <v>1</v>
      </c>
      <c r="BR20" s="134">
        <f t="shared" si="16"/>
        <v>0</v>
      </c>
      <c r="BS20" s="134">
        <f t="shared" si="16"/>
        <v>1</v>
      </c>
      <c r="BT20" s="134">
        <f t="shared" si="16"/>
        <v>1</v>
      </c>
      <c r="BU20" s="134">
        <f t="shared" si="16"/>
        <v>1</v>
      </c>
      <c r="BV20" s="199">
        <f t="shared" si="16"/>
        <v>-2</v>
      </c>
      <c r="BW20" s="199">
        <f t="shared" si="16"/>
        <v>-3</v>
      </c>
      <c r="BX20" s="199">
        <f t="shared" si="16"/>
        <v>-4</v>
      </c>
      <c r="BY20" s="199">
        <f t="shared" si="16"/>
        <v>-2</v>
      </c>
      <c r="BZ20" s="199">
        <f t="shared" si="16"/>
        <v>-3</v>
      </c>
      <c r="CA20" s="199">
        <f t="shared" ref="CA20:DE20" si="17">CA10 - CA$3</f>
        <v>-4</v>
      </c>
      <c r="CB20" s="199">
        <f t="shared" si="17"/>
        <v>-3</v>
      </c>
      <c r="CC20" s="199">
        <f t="shared" si="17"/>
        <v>-3</v>
      </c>
      <c r="CD20" s="199">
        <f t="shared" si="17"/>
        <v>-3</v>
      </c>
      <c r="CE20" s="199">
        <f t="shared" si="17"/>
        <v>-2</v>
      </c>
      <c r="CF20" s="199">
        <f t="shared" si="17"/>
        <v>-3</v>
      </c>
      <c r="CG20" s="199">
        <f t="shared" si="17"/>
        <v>-4</v>
      </c>
      <c r="CH20" s="199">
        <f t="shared" si="17"/>
        <v>-2</v>
      </c>
      <c r="CI20" s="199">
        <f t="shared" si="17"/>
        <v>-3</v>
      </c>
      <c r="CJ20" s="199">
        <f t="shared" si="17"/>
        <v>-4</v>
      </c>
      <c r="CK20" s="199">
        <f t="shared" si="17"/>
        <v>-3</v>
      </c>
      <c r="CL20" s="199">
        <f t="shared" si="17"/>
        <v>-3</v>
      </c>
      <c r="CM20" s="199">
        <f t="shared" si="17"/>
        <v>-3</v>
      </c>
      <c r="CN20" s="264">
        <f t="shared" si="17"/>
        <v>-4</v>
      </c>
      <c r="CO20" s="264">
        <f t="shared" si="17"/>
        <v>-5</v>
      </c>
      <c r="CP20" s="264">
        <f t="shared" si="17"/>
        <v>-3</v>
      </c>
      <c r="CQ20" s="264">
        <f t="shared" si="17"/>
        <v>-5</v>
      </c>
      <c r="CR20" s="264">
        <f t="shared" si="17"/>
        <v>-4</v>
      </c>
      <c r="CS20" s="264">
        <f t="shared" si="17"/>
        <v>-2</v>
      </c>
      <c r="CT20" s="264">
        <f t="shared" si="17"/>
        <v>-3</v>
      </c>
      <c r="CU20" s="264">
        <f t="shared" si="17"/>
        <v>-4</v>
      </c>
      <c r="CV20" s="264">
        <f t="shared" si="17"/>
        <v>-4</v>
      </c>
      <c r="CW20" s="264">
        <f t="shared" si="17"/>
        <v>-4</v>
      </c>
      <c r="CX20" s="264">
        <f t="shared" si="17"/>
        <v>-4</v>
      </c>
      <c r="CY20" s="264">
        <f t="shared" si="17"/>
        <v>-5</v>
      </c>
      <c r="CZ20" s="264">
        <f t="shared" si="17"/>
        <v>-4</v>
      </c>
      <c r="DA20" s="264">
        <f t="shared" si="17"/>
        <v>-3</v>
      </c>
      <c r="DB20" s="264">
        <f t="shared" si="17"/>
        <v>-4</v>
      </c>
      <c r="DC20" s="264">
        <f t="shared" si="17"/>
        <v>-4</v>
      </c>
      <c r="DD20" s="264">
        <f t="shared" si="17"/>
        <v>-3</v>
      </c>
      <c r="DE20" s="264">
        <f t="shared" si="17"/>
        <v>-5</v>
      </c>
    </row>
    <row r="21" spans="1:109" x14ac:dyDescent="0.2">
      <c r="A21" t="str">
        <f t="shared" si="2"/>
        <v>REILLY</v>
      </c>
      <c r="B21" s="262">
        <f t="shared" ref="B21:N21" si="18">B11 - B$3</f>
        <v>2</v>
      </c>
      <c r="C21" s="262">
        <f t="shared" si="18"/>
        <v>-3</v>
      </c>
      <c r="D21" s="262">
        <f t="shared" si="18"/>
        <v>-4</v>
      </c>
      <c r="E21" s="262">
        <f t="shared" si="18"/>
        <v>-4</v>
      </c>
      <c r="F21" s="262">
        <f t="shared" si="18"/>
        <v>-4</v>
      </c>
      <c r="G21" s="262">
        <f t="shared" si="18"/>
        <v>-4</v>
      </c>
      <c r="H21" s="262">
        <f t="shared" si="18"/>
        <v>-4</v>
      </c>
      <c r="I21" s="262">
        <f t="shared" si="18"/>
        <v>-3</v>
      </c>
      <c r="J21" s="262">
        <f t="shared" si="18"/>
        <v>-5</v>
      </c>
      <c r="K21" s="262">
        <f t="shared" si="18"/>
        <v>-5</v>
      </c>
      <c r="L21" s="262">
        <f t="shared" si="18"/>
        <v>-4</v>
      </c>
      <c r="M21" s="262">
        <f t="shared" si="18"/>
        <v>-3</v>
      </c>
      <c r="N21" s="262">
        <f t="shared" si="18"/>
        <v>-5</v>
      </c>
      <c r="O21" s="262">
        <f t="shared" ref="O21:BZ21" si="19">O11 - O$3</f>
        <v>-4</v>
      </c>
      <c r="P21" s="262">
        <f t="shared" si="19"/>
        <v>-5</v>
      </c>
      <c r="Q21" s="262">
        <f t="shared" si="19"/>
        <v>-4</v>
      </c>
      <c r="R21" s="262">
        <f t="shared" si="19"/>
        <v>-3</v>
      </c>
      <c r="S21" s="262">
        <f t="shared" si="19"/>
        <v>-4</v>
      </c>
      <c r="T21" s="259">
        <f t="shared" si="19"/>
        <v>3</v>
      </c>
      <c r="U21" s="259">
        <f t="shared" si="19"/>
        <v>2</v>
      </c>
      <c r="V21" s="259">
        <f t="shared" si="19"/>
        <v>3</v>
      </c>
      <c r="W21" s="259">
        <f t="shared" si="19"/>
        <v>3</v>
      </c>
      <c r="X21" s="259">
        <f t="shared" si="19"/>
        <v>3</v>
      </c>
      <c r="Y21" s="259">
        <f t="shared" si="19"/>
        <v>-4</v>
      </c>
      <c r="Z21" s="259">
        <f t="shared" si="19"/>
        <v>-2</v>
      </c>
      <c r="AA21" s="259">
        <f t="shared" si="19"/>
        <v>3</v>
      </c>
      <c r="AB21" s="259">
        <f t="shared" si="19"/>
        <v>2</v>
      </c>
      <c r="AC21" s="259">
        <f t="shared" si="19"/>
        <v>3</v>
      </c>
      <c r="AD21" s="259">
        <f t="shared" si="19"/>
        <v>2</v>
      </c>
      <c r="AE21" s="259">
        <f t="shared" si="19"/>
        <v>3</v>
      </c>
      <c r="AF21" s="259">
        <f t="shared" si="19"/>
        <v>3</v>
      </c>
      <c r="AG21" s="259">
        <f t="shared" si="19"/>
        <v>4</v>
      </c>
      <c r="AH21" s="259">
        <f t="shared" si="19"/>
        <v>2</v>
      </c>
      <c r="AI21" s="259">
        <f t="shared" si="19"/>
        <v>2</v>
      </c>
      <c r="AJ21" s="259">
        <f t="shared" si="19"/>
        <v>4</v>
      </c>
      <c r="AK21" s="259">
        <f t="shared" si="19"/>
        <v>1</v>
      </c>
      <c r="AL21" s="266">
        <f t="shared" si="19"/>
        <v>1</v>
      </c>
      <c r="AM21" s="266">
        <f t="shared" si="19"/>
        <v>0</v>
      </c>
      <c r="AN21" s="266">
        <f t="shared" si="19"/>
        <v>2</v>
      </c>
      <c r="AO21" s="266">
        <f t="shared" si="19"/>
        <v>0</v>
      </c>
      <c r="AP21" s="266">
        <f t="shared" si="19"/>
        <v>1</v>
      </c>
      <c r="AQ21" s="266">
        <f t="shared" si="19"/>
        <v>1</v>
      </c>
      <c r="AR21" s="266">
        <f t="shared" si="19"/>
        <v>2</v>
      </c>
      <c r="AS21" s="266">
        <f t="shared" si="19"/>
        <v>1</v>
      </c>
      <c r="AT21" s="266">
        <f t="shared" si="19"/>
        <v>1</v>
      </c>
      <c r="AU21" s="266">
        <f t="shared" si="19"/>
        <v>1</v>
      </c>
      <c r="AV21" s="266">
        <f t="shared" si="19"/>
        <v>1</v>
      </c>
      <c r="AW21" s="266">
        <f t="shared" si="19"/>
        <v>0</v>
      </c>
      <c r="AX21" s="266">
        <f t="shared" si="19"/>
        <v>1</v>
      </c>
      <c r="AY21" s="266">
        <f t="shared" si="19"/>
        <v>2</v>
      </c>
      <c r="AZ21" s="266">
        <f t="shared" si="19"/>
        <v>1</v>
      </c>
      <c r="BA21" s="266">
        <f t="shared" si="19"/>
        <v>1</v>
      </c>
      <c r="BB21" s="266">
        <f t="shared" si="19"/>
        <v>2</v>
      </c>
      <c r="BC21" s="266">
        <f t="shared" si="19"/>
        <v>0</v>
      </c>
      <c r="BD21" s="134">
        <f t="shared" si="19"/>
        <v>7</v>
      </c>
      <c r="BE21" s="134">
        <f t="shared" si="19"/>
        <v>1</v>
      </c>
      <c r="BF21" s="134">
        <f t="shared" si="19"/>
        <v>0</v>
      </c>
      <c r="BG21" s="134">
        <f t="shared" si="19"/>
        <v>2</v>
      </c>
      <c r="BH21" s="134">
        <f t="shared" si="19"/>
        <v>1</v>
      </c>
      <c r="BI21" s="134">
        <f t="shared" si="19"/>
        <v>0</v>
      </c>
      <c r="BJ21" s="134">
        <f t="shared" si="19"/>
        <v>1</v>
      </c>
      <c r="BK21" s="134">
        <f t="shared" si="19"/>
        <v>1</v>
      </c>
      <c r="BL21" s="134">
        <f t="shared" si="19"/>
        <v>1</v>
      </c>
      <c r="BM21" s="134">
        <f t="shared" si="19"/>
        <v>2</v>
      </c>
      <c r="BN21" s="134">
        <f t="shared" si="19"/>
        <v>1</v>
      </c>
      <c r="BO21" s="134">
        <f t="shared" si="19"/>
        <v>0</v>
      </c>
      <c r="BP21" s="134">
        <f t="shared" si="19"/>
        <v>2</v>
      </c>
      <c r="BQ21" s="134">
        <f t="shared" si="19"/>
        <v>1</v>
      </c>
      <c r="BR21" s="134">
        <f t="shared" si="19"/>
        <v>0</v>
      </c>
      <c r="BS21" s="134">
        <f t="shared" si="19"/>
        <v>1</v>
      </c>
      <c r="BT21" s="134">
        <f t="shared" si="19"/>
        <v>1</v>
      </c>
      <c r="BU21" s="134">
        <f t="shared" si="19"/>
        <v>1</v>
      </c>
      <c r="BV21" s="199">
        <f t="shared" si="19"/>
        <v>4</v>
      </c>
      <c r="BW21" s="199">
        <f t="shared" si="19"/>
        <v>1</v>
      </c>
      <c r="BX21" s="199">
        <f t="shared" si="19"/>
        <v>2</v>
      </c>
      <c r="BY21" s="199">
        <f t="shared" si="19"/>
        <v>4</v>
      </c>
      <c r="BZ21" s="199">
        <f t="shared" si="19"/>
        <v>3</v>
      </c>
      <c r="CA21" s="199">
        <f t="shared" ref="CA21:DE21" si="20">CA11 - CA$3</f>
        <v>-4</v>
      </c>
      <c r="CB21" s="199">
        <f t="shared" si="20"/>
        <v>-3</v>
      </c>
      <c r="CC21" s="199">
        <f t="shared" si="20"/>
        <v>3</v>
      </c>
      <c r="CD21" s="199">
        <f t="shared" si="20"/>
        <v>3</v>
      </c>
      <c r="CE21" s="199">
        <f t="shared" si="20"/>
        <v>4</v>
      </c>
      <c r="CF21" s="199">
        <f t="shared" si="20"/>
        <v>3</v>
      </c>
      <c r="CG21" s="199">
        <f t="shared" si="20"/>
        <v>2</v>
      </c>
      <c r="CH21" s="199">
        <f t="shared" si="20"/>
        <v>4</v>
      </c>
      <c r="CI21" s="199">
        <f t="shared" si="20"/>
        <v>3</v>
      </c>
      <c r="CJ21" s="199">
        <f t="shared" si="20"/>
        <v>2</v>
      </c>
      <c r="CK21" s="199">
        <f t="shared" si="20"/>
        <v>2</v>
      </c>
      <c r="CL21" s="199">
        <f t="shared" si="20"/>
        <v>3</v>
      </c>
      <c r="CM21" s="199">
        <f t="shared" si="20"/>
        <v>1</v>
      </c>
      <c r="CN21" s="264">
        <f t="shared" si="20"/>
        <v>-4</v>
      </c>
      <c r="CO21" s="264">
        <f t="shared" si="20"/>
        <v>-5</v>
      </c>
      <c r="CP21" s="264">
        <f t="shared" si="20"/>
        <v>-3</v>
      </c>
      <c r="CQ21" s="264">
        <f t="shared" si="20"/>
        <v>-5</v>
      </c>
      <c r="CR21" s="264">
        <f t="shared" si="20"/>
        <v>-4</v>
      </c>
      <c r="CS21" s="264">
        <f t="shared" si="20"/>
        <v>-4</v>
      </c>
      <c r="CT21" s="264">
        <f t="shared" si="20"/>
        <v>-2</v>
      </c>
      <c r="CU21" s="264">
        <f t="shared" si="20"/>
        <v>-4</v>
      </c>
      <c r="CV21" s="264">
        <f t="shared" si="20"/>
        <v>-4</v>
      </c>
      <c r="CW21" s="264">
        <f t="shared" si="20"/>
        <v>-4</v>
      </c>
      <c r="CX21" s="264">
        <f t="shared" si="20"/>
        <v>-4</v>
      </c>
      <c r="CY21" s="264">
        <f t="shared" si="20"/>
        <v>-5</v>
      </c>
      <c r="CZ21" s="264">
        <f t="shared" si="20"/>
        <v>-4</v>
      </c>
      <c r="DA21" s="264">
        <f t="shared" si="20"/>
        <v>-3</v>
      </c>
      <c r="DB21" s="264">
        <f t="shared" si="20"/>
        <v>-4</v>
      </c>
      <c r="DC21" s="264">
        <f t="shared" si="20"/>
        <v>-4</v>
      </c>
      <c r="DD21" s="264">
        <f t="shared" si="20"/>
        <v>-3</v>
      </c>
      <c r="DE21" s="264">
        <f t="shared" si="20"/>
        <v>-5</v>
      </c>
    </row>
    <row r="22" spans="1:109" x14ac:dyDescent="0.2">
      <c r="A22" t="str">
        <f t="shared" si="2"/>
        <v>STONES</v>
      </c>
      <c r="B22" s="262">
        <f t="shared" ref="B22:N22" si="21">B12 - B$3</f>
        <v>2</v>
      </c>
      <c r="C22" s="262">
        <f t="shared" si="21"/>
        <v>1</v>
      </c>
      <c r="D22" s="262">
        <f t="shared" si="21"/>
        <v>0</v>
      </c>
      <c r="E22" s="262">
        <f t="shared" si="21"/>
        <v>3</v>
      </c>
      <c r="F22" s="262">
        <f t="shared" si="21"/>
        <v>0</v>
      </c>
      <c r="G22" s="262">
        <f t="shared" si="21"/>
        <v>0</v>
      </c>
      <c r="H22" s="262">
        <f t="shared" si="21"/>
        <v>0</v>
      </c>
      <c r="I22" s="262">
        <f t="shared" si="21"/>
        <v>1</v>
      </c>
      <c r="J22" s="262">
        <f t="shared" si="21"/>
        <v>-1</v>
      </c>
      <c r="K22" s="262">
        <f t="shared" si="21"/>
        <v>-1</v>
      </c>
      <c r="L22" s="262">
        <f t="shared" si="21"/>
        <v>0</v>
      </c>
      <c r="M22" s="262">
        <f t="shared" si="21"/>
        <v>1</v>
      </c>
      <c r="N22" s="262">
        <f t="shared" si="21"/>
        <v>-1</v>
      </c>
      <c r="O22" s="262">
        <f t="shared" ref="O22:BZ22" si="22">O12 - O$3</f>
        <v>0</v>
      </c>
      <c r="P22" s="262">
        <f t="shared" si="22"/>
        <v>-1</v>
      </c>
      <c r="Q22" s="262">
        <f t="shared" si="22"/>
        <v>0</v>
      </c>
      <c r="R22" s="262">
        <f t="shared" si="22"/>
        <v>1</v>
      </c>
      <c r="S22" s="262">
        <f t="shared" si="22"/>
        <v>0</v>
      </c>
      <c r="T22" s="259">
        <f t="shared" si="22"/>
        <v>3</v>
      </c>
      <c r="U22" s="259">
        <f t="shared" si="22"/>
        <v>1</v>
      </c>
      <c r="V22" s="259">
        <f t="shared" si="22"/>
        <v>3</v>
      </c>
      <c r="W22" s="259">
        <f t="shared" si="22"/>
        <v>3</v>
      </c>
      <c r="X22" s="259">
        <f t="shared" si="22"/>
        <v>3</v>
      </c>
      <c r="Y22" s="259">
        <f t="shared" si="22"/>
        <v>2</v>
      </c>
      <c r="Z22" s="259">
        <f t="shared" si="22"/>
        <v>4</v>
      </c>
      <c r="AA22" s="259">
        <f t="shared" si="22"/>
        <v>3</v>
      </c>
      <c r="AB22" s="259">
        <f t="shared" si="22"/>
        <v>-4</v>
      </c>
      <c r="AC22" s="259">
        <f t="shared" si="22"/>
        <v>3</v>
      </c>
      <c r="AD22" s="259">
        <f t="shared" si="22"/>
        <v>2</v>
      </c>
      <c r="AE22" s="259">
        <f t="shared" si="22"/>
        <v>3</v>
      </c>
      <c r="AF22" s="259">
        <f t="shared" si="22"/>
        <v>3</v>
      </c>
      <c r="AG22" s="259">
        <f t="shared" si="22"/>
        <v>4</v>
      </c>
      <c r="AH22" s="259">
        <f t="shared" si="22"/>
        <v>2</v>
      </c>
      <c r="AI22" s="259">
        <f t="shared" si="22"/>
        <v>3</v>
      </c>
      <c r="AJ22" s="259">
        <f t="shared" si="22"/>
        <v>4</v>
      </c>
      <c r="AK22" s="259">
        <f t="shared" si="22"/>
        <v>0</v>
      </c>
      <c r="AL22" s="266">
        <f t="shared" si="22"/>
        <v>1</v>
      </c>
      <c r="AM22" s="266">
        <f t="shared" si="22"/>
        <v>0</v>
      </c>
      <c r="AN22" s="266">
        <f t="shared" si="22"/>
        <v>2</v>
      </c>
      <c r="AO22" s="266">
        <f t="shared" si="22"/>
        <v>0</v>
      </c>
      <c r="AP22" s="266">
        <f t="shared" si="22"/>
        <v>1</v>
      </c>
      <c r="AQ22" s="266">
        <f t="shared" si="22"/>
        <v>1</v>
      </c>
      <c r="AR22" s="266">
        <f t="shared" si="22"/>
        <v>2</v>
      </c>
      <c r="AS22" s="266">
        <f t="shared" si="22"/>
        <v>1</v>
      </c>
      <c r="AT22" s="266">
        <f t="shared" si="22"/>
        <v>1</v>
      </c>
      <c r="AU22" s="266">
        <f t="shared" si="22"/>
        <v>1</v>
      </c>
      <c r="AV22" s="266">
        <f t="shared" si="22"/>
        <v>1</v>
      </c>
      <c r="AW22" s="266">
        <f t="shared" si="22"/>
        <v>0</v>
      </c>
      <c r="AX22" s="266">
        <f t="shared" si="22"/>
        <v>1</v>
      </c>
      <c r="AY22" s="266">
        <f t="shared" si="22"/>
        <v>2</v>
      </c>
      <c r="AZ22" s="266">
        <f t="shared" si="22"/>
        <v>1</v>
      </c>
      <c r="BA22" s="266">
        <f t="shared" si="22"/>
        <v>1</v>
      </c>
      <c r="BB22" s="266">
        <f t="shared" si="22"/>
        <v>2</v>
      </c>
      <c r="BC22" s="266">
        <f t="shared" si="22"/>
        <v>0</v>
      </c>
      <c r="BD22" s="134">
        <f t="shared" si="22"/>
        <v>8</v>
      </c>
      <c r="BE22" s="134">
        <f t="shared" si="22"/>
        <v>1</v>
      </c>
      <c r="BF22" s="134">
        <f t="shared" si="22"/>
        <v>0</v>
      </c>
      <c r="BG22" s="134">
        <f t="shared" si="22"/>
        <v>2</v>
      </c>
      <c r="BH22" s="134">
        <f t="shared" si="22"/>
        <v>1</v>
      </c>
      <c r="BI22" s="134">
        <f t="shared" si="22"/>
        <v>0</v>
      </c>
      <c r="BJ22" s="134">
        <f t="shared" si="22"/>
        <v>1</v>
      </c>
      <c r="BK22" s="134">
        <f t="shared" si="22"/>
        <v>1</v>
      </c>
      <c r="BL22" s="134">
        <f t="shared" si="22"/>
        <v>1</v>
      </c>
      <c r="BM22" s="134">
        <f t="shared" si="22"/>
        <v>2</v>
      </c>
      <c r="BN22" s="134">
        <f t="shared" si="22"/>
        <v>1</v>
      </c>
      <c r="BO22" s="134">
        <f t="shared" si="22"/>
        <v>0</v>
      </c>
      <c r="BP22" s="134">
        <f t="shared" si="22"/>
        <v>2</v>
      </c>
      <c r="BQ22" s="134">
        <f t="shared" si="22"/>
        <v>1</v>
      </c>
      <c r="BR22" s="134">
        <f t="shared" si="22"/>
        <v>0</v>
      </c>
      <c r="BS22" s="134">
        <f t="shared" si="22"/>
        <v>1</v>
      </c>
      <c r="BT22" s="134">
        <f t="shared" si="22"/>
        <v>1</v>
      </c>
      <c r="BU22" s="134">
        <f t="shared" si="22"/>
        <v>1</v>
      </c>
      <c r="BV22" s="199">
        <f t="shared" si="22"/>
        <v>4</v>
      </c>
      <c r="BW22" s="199">
        <f t="shared" si="22"/>
        <v>0</v>
      </c>
      <c r="BX22" s="199">
        <f t="shared" si="22"/>
        <v>2</v>
      </c>
      <c r="BY22" s="199">
        <f t="shared" si="22"/>
        <v>4</v>
      </c>
      <c r="BZ22" s="199">
        <f t="shared" si="22"/>
        <v>3</v>
      </c>
      <c r="CA22" s="199">
        <f t="shared" ref="CA22:DE22" si="23">CA12 - CA$3</f>
        <v>2</v>
      </c>
      <c r="CB22" s="199">
        <f t="shared" si="23"/>
        <v>3</v>
      </c>
      <c r="CC22" s="199">
        <f t="shared" si="23"/>
        <v>3</v>
      </c>
      <c r="CD22" s="199">
        <f t="shared" si="23"/>
        <v>-3</v>
      </c>
      <c r="CE22" s="199">
        <f t="shared" si="23"/>
        <v>4</v>
      </c>
      <c r="CF22" s="199">
        <f t="shared" si="23"/>
        <v>3</v>
      </c>
      <c r="CG22" s="199">
        <f t="shared" si="23"/>
        <v>2</v>
      </c>
      <c r="CH22" s="199">
        <f t="shared" si="23"/>
        <v>4</v>
      </c>
      <c r="CI22" s="199">
        <f t="shared" si="23"/>
        <v>3</v>
      </c>
      <c r="CJ22" s="199">
        <f t="shared" si="23"/>
        <v>2</v>
      </c>
      <c r="CK22" s="199">
        <f t="shared" si="23"/>
        <v>3</v>
      </c>
      <c r="CL22" s="199">
        <f t="shared" si="23"/>
        <v>3</v>
      </c>
      <c r="CM22" s="199">
        <f t="shared" si="23"/>
        <v>0</v>
      </c>
      <c r="CN22" s="264">
        <f t="shared" si="23"/>
        <v>-4</v>
      </c>
      <c r="CO22" s="264">
        <f t="shared" si="23"/>
        <v>-5</v>
      </c>
      <c r="CP22" s="264">
        <f t="shared" si="23"/>
        <v>-3</v>
      </c>
      <c r="CQ22" s="264">
        <f t="shared" si="23"/>
        <v>-5</v>
      </c>
      <c r="CR22" s="264">
        <f t="shared" si="23"/>
        <v>-4</v>
      </c>
      <c r="CS22" s="264">
        <f t="shared" si="23"/>
        <v>-4</v>
      </c>
      <c r="CT22" s="264">
        <f t="shared" si="23"/>
        <v>-3</v>
      </c>
      <c r="CU22" s="264">
        <f t="shared" si="23"/>
        <v>-4</v>
      </c>
      <c r="CV22" s="264">
        <f t="shared" si="23"/>
        <v>-4</v>
      </c>
      <c r="CW22" s="264">
        <f t="shared" si="23"/>
        <v>-4</v>
      </c>
      <c r="CX22" s="264">
        <f t="shared" si="23"/>
        <v>-4</v>
      </c>
      <c r="CY22" s="264">
        <f t="shared" si="23"/>
        <v>-5</v>
      </c>
      <c r="CZ22" s="264">
        <f t="shared" si="23"/>
        <v>-4</v>
      </c>
      <c r="DA22" s="264">
        <f t="shared" si="23"/>
        <v>-3</v>
      </c>
      <c r="DB22" s="264">
        <f t="shared" si="23"/>
        <v>-4</v>
      </c>
      <c r="DC22" s="264">
        <f t="shared" si="23"/>
        <v>-4</v>
      </c>
      <c r="DD22" s="264">
        <f t="shared" si="23"/>
        <v>-3</v>
      </c>
      <c r="DE22" s="264">
        <f t="shared" si="23"/>
        <v>-5</v>
      </c>
    </row>
    <row r="25" spans="1:109" x14ac:dyDescent="0.2">
      <c r="A25" t="str">
        <f>A15</f>
        <v>BELLIS</v>
      </c>
      <c r="B25" s="283" t="str">
        <f>IF(B15=-4,"CONDOR",IF(B15=-3,"ALBATROSS",IF(B15=-2,"EAGLE",IF(B15=-1,"BIRDY",IF(B15=0,"PAR",IF(B15=1,"BOGEY",IF(B15=2,"DOUBLE",IF(B15=3,"TRIPLE",IF(B15&gt;=4,"QUAD+")))))))))</f>
        <v>BOGEY</v>
      </c>
      <c r="C25" s="283" t="str">
        <f t="shared" ref="C25:H25" si="24">IF(C15=-4,"CONDOR",IF(C15=-3,"ALBATROSS",IF(C15=-2,"EAGLE",IF(C15=-1,"BIRDY",IF(C15=0,"PAR",IF(C15=1,"BOGEY",IF(C15=2,"DOUBLE",IF(C15=3,"TRIPLE",IF(C15&gt;=4,"QUAD+")))))))))</f>
        <v>DOUBLE</v>
      </c>
      <c r="D25" s="283" t="str">
        <f t="shared" si="24"/>
        <v>BOGEY</v>
      </c>
      <c r="E25" s="283" t="str">
        <f t="shared" si="24"/>
        <v>BOGEY</v>
      </c>
      <c r="F25" s="283" t="str">
        <f t="shared" si="24"/>
        <v>BOGEY</v>
      </c>
      <c r="G25" s="283" t="str">
        <f t="shared" si="24"/>
        <v>BOGEY</v>
      </c>
      <c r="H25" s="283" t="str">
        <f t="shared" si="24"/>
        <v>BOGEY</v>
      </c>
      <c r="I25" s="283" t="str">
        <f t="shared" ref="I25:BT25" si="25">IF(I15=-4,"CONDOR",IF(I15=-3,"ALBATROSS",IF(I15=-2,"EAGLE",IF(I15=-1,"BIRDY",IF(I15=0,"PAR",IF(I15=1,"BOGEY",IF(I15=2,"DOUBLE",IF(I15=3,"TRIPLE",IF(I15&gt;=4,"QUAD+")))))))))</f>
        <v>DOUBLE</v>
      </c>
      <c r="J25" s="283" t="str">
        <f t="shared" si="25"/>
        <v>PAR</v>
      </c>
      <c r="K25" s="283" t="str">
        <f t="shared" si="25"/>
        <v>PAR</v>
      </c>
      <c r="L25" s="283" t="str">
        <f t="shared" si="25"/>
        <v>BOGEY</v>
      </c>
      <c r="M25" s="283" t="str">
        <f t="shared" si="25"/>
        <v>DOUBLE</v>
      </c>
      <c r="N25" s="283" t="str">
        <f t="shared" si="25"/>
        <v>PAR</v>
      </c>
      <c r="O25" s="283" t="str">
        <f t="shared" si="25"/>
        <v>BOGEY</v>
      </c>
      <c r="P25" s="283" t="str">
        <f t="shared" si="25"/>
        <v>PAR</v>
      </c>
      <c r="Q25" s="283" t="str">
        <f t="shared" si="25"/>
        <v>BOGEY</v>
      </c>
      <c r="R25" s="283" t="str">
        <f t="shared" si="25"/>
        <v>DOUBLE</v>
      </c>
      <c r="S25" s="283" t="str">
        <f t="shared" si="25"/>
        <v>BOGEY</v>
      </c>
      <c r="T25" s="283" t="str">
        <f t="shared" si="25"/>
        <v>QUAD+</v>
      </c>
      <c r="U25" s="283" t="str">
        <f t="shared" si="25"/>
        <v>BIRDY</v>
      </c>
      <c r="V25" s="283" t="str">
        <f t="shared" si="25"/>
        <v>QUAD+</v>
      </c>
      <c r="W25" s="283" t="str">
        <f t="shared" si="25"/>
        <v>QUAD+</v>
      </c>
      <c r="X25" s="283" t="str">
        <f t="shared" si="25"/>
        <v>QUAD+</v>
      </c>
      <c r="Y25" s="283" t="str">
        <f t="shared" si="25"/>
        <v>TRIPLE</v>
      </c>
      <c r="Z25" s="283" t="str">
        <f t="shared" si="25"/>
        <v>QUAD+</v>
      </c>
      <c r="AA25" s="283" t="str">
        <f t="shared" si="25"/>
        <v>QUAD+</v>
      </c>
      <c r="AB25" s="283" t="str">
        <f t="shared" si="25"/>
        <v>ALBATROSS</v>
      </c>
      <c r="AC25" s="283" t="str">
        <f t="shared" si="25"/>
        <v>QUAD+</v>
      </c>
      <c r="AD25" s="283" t="str">
        <f t="shared" si="25"/>
        <v>TRIPLE</v>
      </c>
      <c r="AE25" s="283" t="str">
        <f t="shared" si="25"/>
        <v>QUAD+</v>
      </c>
      <c r="AF25" s="283" t="str">
        <f t="shared" si="25"/>
        <v>QUAD+</v>
      </c>
      <c r="AG25" s="283" t="str">
        <f t="shared" si="25"/>
        <v>QUAD+</v>
      </c>
      <c r="AH25" s="283" t="str">
        <f t="shared" si="25"/>
        <v>TRIPLE</v>
      </c>
      <c r="AI25" s="283" t="str">
        <f t="shared" si="25"/>
        <v>QUAD+</v>
      </c>
      <c r="AJ25" s="283" t="str">
        <f t="shared" si="25"/>
        <v>QUAD+</v>
      </c>
      <c r="AK25" s="283" t="str">
        <f t="shared" si="25"/>
        <v>QUAD+</v>
      </c>
      <c r="AL25" s="283" t="str">
        <f t="shared" si="25"/>
        <v>BOGEY</v>
      </c>
      <c r="AM25" s="283" t="str">
        <f t="shared" si="25"/>
        <v>PAR</v>
      </c>
      <c r="AN25" s="283" t="str">
        <f t="shared" si="25"/>
        <v>DOUBLE</v>
      </c>
      <c r="AO25" s="283" t="str">
        <f t="shared" si="25"/>
        <v>PAR</v>
      </c>
      <c r="AP25" s="283" t="str">
        <f t="shared" si="25"/>
        <v>BOGEY</v>
      </c>
      <c r="AQ25" s="283" t="str">
        <f t="shared" si="25"/>
        <v>BOGEY</v>
      </c>
      <c r="AR25" s="283" t="str">
        <f t="shared" si="25"/>
        <v>DOUBLE</v>
      </c>
      <c r="AS25" s="283" t="str">
        <f t="shared" si="25"/>
        <v>BOGEY</v>
      </c>
      <c r="AT25" s="283" t="str">
        <f t="shared" si="25"/>
        <v>BOGEY</v>
      </c>
      <c r="AU25" s="283" t="str">
        <f t="shared" si="25"/>
        <v>BOGEY</v>
      </c>
      <c r="AV25" s="283" t="str">
        <f t="shared" si="25"/>
        <v>BOGEY</v>
      </c>
      <c r="AW25" s="283" t="str">
        <f t="shared" si="25"/>
        <v>PAR</v>
      </c>
      <c r="AX25" s="283" t="str">
        <f t="shared" si="25"/>
        <v>BOGEY</v>
      </c>
      <c r="AY25" s="283" t="str">
        <f t="shared" si="25"/>
        <v>DOUBLE</v>
      </c>
      <c r="AZ25" s="283" t="str">
        <f t="shared" si="25"/>
        <v>BOGEY</v>
      </c>
      <c r="BA25" s="283" t="str">
        <f t="shared" si="25"/>
        <v>BOGEY</v>
      </c>
      <c r="BB25" s="283" t="str">
        <f t="shared" si="25"/>
        <v>DOUBLE</v>
      </c>
      <c r="BC25" s="283" t="str">
        <f t="shared" si="25"/>
        <v>PAR</v>
      </c>
      <c r="BD25" s="283" t="str">
        <f t="shared" si="25"/>
        <v>BOGEY</v>
      </c>
      <c r="BE25" s="283" t="str">
        <f t="shared" si="25"/>
        <v>BOGEY</v>
      </c>
      <c r="BF25" s="283" t="str">
        <f t="shared" si="25"/>
        <v>PAR</v>
      </c>
      <c r="BG25" s="283" t="str">
        <f t="shared" si="25"/>
        <v>DOUBLE</v>
      </c>
      <c r="BH25" s="283" t="str">
        <f t="shared" si="25"/>
        <v>BOGEY</v>
      </c>
      <c r="BI25" s="283" t="str">
        <f t="shared" si="25"/>
        <v>PAR</v>
      </c>
      <c r="BJ25" s="283" t="str">
        <f t="shared" si="25"/>
        <v>BOGEY</v>
      </c>
      <c r="BK25" s="283" t="str">
        <f t="shared" si="25"/>
        <v>BOGEY</v>
      </c>
      <c r="BL25" s="283" t="str">
        <f t="shared" si="25"/>
        <v>BOGEY</v>
      </c>
      <c r="BM25" s="283" t="str">
        <f t="shared" si="25"/>
        <v>DOUBLE</v>
      </c>
      <c r="BN25" s="283" t="str">
        <f t="shared" si="25"/>
        <v>BOGEY</v>
      </c>
      <c r="BO25" s="283" t="str">
        <f t="shared" si="25"/>
        <v>PAR</v>
      </c>
      <c r="BP25" s="283" t="str">
        <f t="shared" si="25"/>
        <v>DOUBLE</v>
      </c>
      <c r="BQ25" s="283" t="str">
        <f t="shared" si="25"/>
        <v>BOGEY</v>
      </c>
      <c r="BR25" s="283" t="str">
        <f t="shared" si="25"/>
        <v>PAR</v>
      </c>
      <c r="BS25" s="283" t="str">
        <f t="shared" si="25"/>
        <v>BOGEY</v>
      </c>
      <c r="BT25" s="283" t="str">
        <f t="shared" si="25"/>
        <v>BOGEY</v>
      </c>
      <c r="BU25" s="283" t="str">
        <f t="shared" ref="BU25:DE25" si="26">IF(BU15=-4,"CONDOR",IF(BU15=-3,"ALBATROSS",IF(BU15=-2,"EAGLE",IF(BU15=-1,"BIRDY",IF(BU15=0,"PAR",IF(BU15=1,"BOGEY",IF(BU15=2,"DOUBLE",IF(BU15=3,"TRIPLE",IF(BU15&gt;=4,"QUAD+")))))))))</f>
        <v>BOGEY</v>
      </c>
      <c r="BV25" s="283" t="str">
        <f t="shared" si="26"/>
        <v>QUAD+</v>
      </c>
      <c r="BW25" s="283" t="str">
        <f t="shared" si="26"/>
        <v>EAGLE</v>
      </c>
      <c r="BX25" s="283" t="str">
        <f t="shared" si="26"/>
        <v>TRIPLE</v>
      </c>
      <c r="BY25" s="283" t="str">
        <f t="shared" si="26"/>
        <v>QUAD+</v>
      </c>
      <c r="BZ25" s="283" t="str">
        <f t="shared" si="26"/>
        <v>QUAD+</v>
      </c>
      <c r="CA25" s="283" t="str">
        <f t="shared" si="26"/>
        <v>TRIPLE</v>
      </c>
      <c r="CB25" s="283" t="str">
        <f t="shared" si="26"/>
        <v>QUAD+</v>
      </c>
      <c r="CC25" s="283" t="str">
        <f t="shared" si="26"/>
        <v>QUAD+</v>
      </c>
      <c r="CD25" s="283" t="str">
        <f t="shared" si="26"/>
        <v>EAGLE</v>
      </c>
      <c r="CE25" s="283" t="str">
        <f t="shared" si="26"/>
        <v>QUAD+</v>
      </c>
      <c r="CF25" s="283" t="str">
        <f t="shared" si="26"/>
        <v>QUAD+</v>
      </c>
      <c r="CG25" s="283" t="str">
        <f t="shared" si="26"/>
        <v>TRIPLE</v>
      </c>
      <c r="CH25" s="283" t="str">
        <f t="shared" si="26"/>
        <v>QUAD+</v>
      </c>
      <c r="CI25" s="283" t="str">
        <f t="shared" si="26"/>
        <v>QUAD+</v>
      </c>
      <c r="CJ25" s="283" t="str">
        <f t="shared" si="26"/>
        <v>TRIPLE</v>
      </c>
      <c r="CK25" s="283" t="str">
        <f t="shared" si="26"/>
        <v>QUAD+</v>
      </c>
      <c r="CL25" s="283" t="str">
        <f t="shared" si="26"/>
        <v>QUAD+</v>
      </c>
      <c r="CM25" s="283" t="str">
        <f t="shared" si="26"/>
        <v>QUAD+</v>
      </c>
      <c r="CN25" s="283" t="str">
        <f t="shared" si="26"/>
        <v>TRIPLE</v>
      </c>
      <c r="CO25" s="283" t="b">
        <f t="shared" si="26"/>
        <v>0</v>
      </c>
      <c r="CP25" s="283" t="str">
        <f t="shared" si="26"/>
        <v>ALBATROSS</v>
      </c>
      <c r="CQ25" s="283" t="b">
        <f t="shared" si="26"/>
        <v>0</v>
      </c>
      <c r="CR25" s="283" t="str">
        <f t="shared" si="26"/>
        <v>CONDOR</v>
      </c>
      <c r="CS25" s="283" t="str">
        <f t="shared" si="26"/>
        <v>CONDOR</v>
      </c>
      <c r="CT25" s="283" t="str">
        <f t="shared" si="26"/>
        <v>ALBATROSS</v>
      </c>
      <c r="CU25" s="283" t="str">
        <f t="shared" si="26"/>
        <v>CONDOR</v>
      </c>
      <c r="CV25" s="283" t="str">
        <f t="shared" si="26"/>
        <v>CONDOR</v>
      </c>
      <c r="CW25" s="283" t="str">
        <f t="shared" si="26"/>
        <v>CONDOR</v>
      </c>
      <c r="CX25" s="283" t="str">
        <f t="shared" si="26"/>
        <v>CONDOR</v>
      </c>
      <c r="CY25" s="283" t="b">
        <f t="shared" si="26"/>
        <v>0</v>
      </c>
      <c r="CZ25" s="283" t="str">
        <f t="shared" si="26"/>
        <v>CONDOR</v>
      </c>
      <c r="DA25" s="283" t="str">
        <f t="shared" si="26"/>
        <v>ALBATROSS</v>
      </c>
      <c r="DB25" s="283" t="str">
        <f t="shared" si="26"/>
        <v>CONDOR</v>
      </c>
      <c r="DC25" s="283" t="str">
        <f t="shared" si="26"/>
        <v>CONDOR</v>
      </c>
      <c r="DD25" s="283" t="str">
        <f t="shared" si="26"/>
        <v>ALBATROSS</v>
      </c>
      <c r="DE25" s="283" t="b">
        <f t="shared" si="26"/>
        <v>0</v>
      </c>
    </row>
    <row r="26" spans="1:109" x14ac:dyDescent="0.2">
      <c r="A26" t="str">
        <f t="shared" ref="A26:A32" si="27">A16</f>
        <v>DEY</v>
      </c>
      <c r="B26" s="283" t="str">
        <f t="shared" ref="B26:G26" si="28">IF(B16=-4,"CONDOR",IF(B16=-3,"ALBATROSS",IF(B16=-2,"EAGLE",IF(B16=-1,"BIRDY",IF(B16=0,"PAR",IF(B16=1,"BOGEY",IF(B16=2,"DOUBLE",IF(B16=3,"TRIPLE",IF(B16&gt;=4,"QUAD+")))))))))</f>
        <v>BOGEY</v>
      </c>
      <c r="C26" s="283" t="str">
        <f t="shared" si="28"/>
        <v>QUAD+</v>
      </c>
      <c r="D26" s="283" t="str">
        <f t="shared" si="28"/>
        <v>DOUBLE</v>
      </c>
      <c r="E26" s="283" t="str">
        <f t="shared" si="28"/>
        <v>QUAD+</v>
      </c>
      <c r="F26" s="283" t="str">
        <f t="shared" si="28"/>
        <v>DOUBLE</v>
      </c>
      <c r="G26" s="283" t="str">
        <f t="shared" si="28"/>
        <v>QUAD+</v>
      </c>
      <c r="H26" s="283" t="str">
        <f t="shared" ref="H26:BS26" si="29">IF(H16=-4,"CONDOR",IF(H16=-3,"ALBATROSS",IF(H16=-2,"EAGLE",IF(H16=-1,"BIRDY",IF(H16=0,"PAR",IF(H16=1,"BOGEY",IF(H16=2,"DOUBLE",IF(H16=3,"TRIPLE",IF(H16&gt;=4,"QUAD+")))))))))</f>
        <v>DOUBLE</v>
      </c>
      <c r="I26" s="283" t="str">
        <f t="shared" si="29"/>
        <v>QUAD+</v>
      </c>
      <c r="J26" s="283" t="b">
        <f t="shared" si="29"/>
        <v>0</v>
      </c>
      <c r="K26" s="283" t="b">
        <f t="shared" si="29"/>
        <v>0</v>
      </c>
      <c r="L26" s="283" t="str">
        <f t="shared" si="29"/>
        <v>CONDOR</v>
      </c>
      <c r="M26" s="283" t="str">
        <f t="shared" si="29"/>
        <v>ALBATROSS</v>
      </c>
      <c r="N26" s="283" t="b">
        <f t="shared" si="29"/>
        <v>0</v>
      </c>
      <c r="O26" s="283" t="str">
        <f t="shared" si="29"/>
        <v>CONDOR</v>
      </c>
      <c r="P26" s="283" t="b">
        <f t="shared" si="29"/>
        <v>0</v>
      </c>
      <c r="Q26" s="283" t="str">
        <f t="shared" si="29"/>
        <v>CONDOR</v>
      </c>
      <c r="R26" s="283" t="str">
        <f t="shared" si="29"/>
        <v>ALBATROSS</v>
      </c>
      <c r="S26" s="283" t="str">
        <f t="shared" si="29"/>
        <v>CONDOR</v>
      </c>
      <c r="T26" s="283" t="str">
        <f t="shared" si="29"/>
        <v>TRIPLE</v>
      </c>
      <c r="U26" s="283" t="str">
        <f t="shared" si="29"/>
        <v>QUAD+</v>
      </c>
      <c r="V26" s="283" t="str">
        <f t="shared" si="29"/>
        <v>TRIPLE</v>
      </c>
      <c r="W26" s="283" t="str">
        <f t="shared" si="29"/>
        <v>TRIPLE</v>
      </c>
      <c r="X26" s="283" t="str">
        <f t="shared" si="29"/>
        <v>TRIPLE</v>
      </c>
      <c r="Y26" s="283" t="str">
        <f t="shared" si="29"/>
        <v>CONDOR</v>
      </c>
      <c r="Z26" s="283" t="str">
        <f t="shared" si="29"/>
        <v>EAGLE</v>
      </c>
      <c r="AA26" s="283" t="str">
        <f t="shared" si="29"/>
        <v>ALBATROSS</v>
      </c>
      <c r="AB26" s="283" t="str">
        <f t="shared" si="29"/>
        <v>QUAD+</v>
      </c>
      <c r="AC26" s="283" t="str">
        <f t="shared" si="29"/>
        <v>QUAD+</v>
      </c>
      <c r="AD26" s="283" t="str">
        <f t="shared" si="29"/>
        <v>QUAD+</v>
      </c>
      <c r="AE26" s="283" t="str">
        <f t="shared" si="29"/>
        <v>QUAD+</v>
      </c>
      <c r="AF26" s="283" t="str">
        <f t="shared" si="29"/>
        <v>QUAD+</v>
      </c>
      <c r="AG26" s="283" t="str">
        <f t="shared" si="29"/>
        <v>QUAD+</v>
      </c>
      <c r="AH26" s="283" t="str">
        <f t="shared" si="29"/>
        <v>QUAD+</v>
      </c>
      <c r="AI26" s="283" t="str">
        <f t="shared" si="29"/>
        <v>QUAD+</v>
      </c>
      <c r="AJ26" s="283" t="str">
        <f t="shared" si="29"/>
        <v>QUAD+</v>
      </c>
      <c r="AK26" s="283" t="str">
        <f t="shared" si="29"/>
        <v>QUAD+</v>
      </c>
      <c r="AL26" s="283" t="str">
        <f t="shared" si="29"/>
        <v>BOGEY</v>
      </c>
      <c r="AM26" s="283" t="str">
        <f t="shared" si="29"/>
        <v>PAR</v>
      </c>
      <c r="AN26" s="283" t="str">
        <f t="shared" si="29"/>
        <v>DOUBLE</v>
      </c>
      <c r="AO26" s="283" t="str">
        <f t="shared" si="29"/>
        <v>PAR</v>
      </c>
      <c r="AP26" s="283" t="str">
        <f t="shared" si="29"/>
        <v>BOGEY</v>
      </c>
      <c r="AQ26" s="283" t="str">
        <f t="shared" si="29"/>
        <v>BOGEY</v>
      </c>
      <c r="AR26" s="283" t="str">
        <f t="shared" si="29"/>
        <v>DOUBLE</v>
      </c>
      <c r="AS26" s="283" t="str">
        <f t="shared" si="29"/>
        <v>BOGEY</v>
      </c>
      <c r="AT26" s="283" t="str">
        <f t="shared" si="29"/>
        <v>BOGEY</v>
      </c>
      <c r="AU26" s="283" t="str">
        <f t="shared" si="29"/>
        <v>BOGEY</v>
      </c>
      <c r="AV26" s="283" t="str">
        <f t="shared" si="29"/>
        <v>BOGEY</v>
      </c>
      <c r="AW26" s="283" t="str">
        <f t="shared" si="29"/>
        <v>PAR</v>
      </c>
      <c r="AX26" s="283" t="str">
        <f t="shared" si="29"/>
        <v>BOGEY</v>
      </c>
      <c r="AY26" s="283" t="str">
        <f t="shared" si="29"/>
        <v>DOUBLE</v>
      </c>
      <c r="AZ26" s="283" t="str">
        <f t="shared" si="29"/>
        <v>BOGEY</v>
      </c>
      <c r="BA26" s="283" t="str">
        <f t="shared" si="29"/>
        <v>BOGEY</v>
      </c>
      <c r="BB26" s="283" t="str">
        <f t="shared" si="29"/>
        <v>DOUBLE</v>
      </c>
      <c r="BC26" s="283" t="str">
        <f t="shared" si="29"/>
        <v>PAR</v>
      </c>
      <c r="BD26" s="283" t="str">
        <f t="shared" si="29"/>
        <v>DOUBLE</v>
      </c>
      <c r="BE26" s="283" t="str">
        <f t="shared" si="29"/>
        <v>BOGEY</v>
      </c>
      <c r="BF26" s="283" t="str">
        <f t="shared" si="29"/>
        <v>PAR</v>
      </c>
      <c r="BG26" s="283" t="str">
        <f t="shared" si="29"/>
        <v>DOUBLE</v>
      </c>
      <c r="BH26" s="283" t="str">
        <f t="shared" si="29"/>
        <v>BOGEY</v>
      </c>
      <c r="BI26" s="283" t="str">
        <f t="shared" si="29"/>
        <v>PAR</v>
      </c>
      <c r="BJ26" s="283" t="str">
        <f t="shared" si="29"/>
        <v>BOGEY</v>
      </c>
      <c r="BK26" s="283" t="str">
        <f t="shared" si="29"/>
        <v>BOGEY</v>
      </c>
      <c r="BL26" s="283" t="str">
        <f t="shared" si="29"/>
        <v>BOGEY</v>
      </c>
      <c r="BM26" s="283" t="str">
        <f t="shared" si="29"/>
        <v>DOUBLE</v>
      </c>
      <c r="BN26" s="283" t="str">
        <f t="shared" si="29"/>
        <v>BOGEY</v>
      </c>
      <c r="BO26" s="283" t="str">
        <f t="shared" si="29"/>
        <v>PAR</v>
      </c>
      <c r="BP26" s="283" t="str">
        <f t="shared" si="29"/>
        <v>DOUBLE</v>
      </c>
      <c r="BQ26" s="283" t="str">
        <f t="shared" si="29"/>
        <v>BOGEY</v>
      </c>
      <c r="BR26" s="283" t="str">
        <f t="shared" si="29"/>
        <v>PAR</v>
      </c>
      <c r="BS26" s="283" t="str">
        <f t="shared" si="29"/>
        <v>BOGEY</v>
      </c>
      <c r="BT26" s="283" t="str">
        <f t="shared" ref="BT26:DE26" si="30">IF(BT16=-4,"CONDOR",IF(BT16=-3,"ALBATROSS",IF(BT16=-2,"EAGLE",IF(BT16=-1,"BIRDY",IF(BT16=0,"PAR",IF(BT16=1,"BOGEY",IF(BT16=2,"DOUBLE",IF(BT16=3,"TRIPLE",IF(BT16&gt;=4,"QUAD+")))))))))</f>
        <v>BOGEY</v>
      </c>
      <c r="BU26" s="283" t="str">
        <f t="shared" si="30"/>
        <v>BOGEY</v>
      </c>
      <c r="BV26" s="283" t="str">
        <f t="shared" si="30"/>
        <v>EAGLE</v>
      </c>
      <c r="BW26" s="283" t="str">
        <f t="shared" si="30"/>
        <v>ALBATROSS</v>
      </c>
      <c r="BX26" s="283" t="str">
        <f t="shared" si="30"/>
        <v>CONDOR</v>
      </c>
      <c r="BY26" s="283" t="str">
        <f t="shared" si="30"/>
        <v>EAGLE</v>
      </c>
      <c r="BZ26" s="283" t="str">
        <f t="shared" si="30"/>
        <v>ALBATROSS</v>
      </c>
      <c r="CA26" s="283" t="str">
        <f t="shared" si="30"/>
        <v>CONDOR</v>
      </c>
      <c r="CB26" s="283" t="str">
        <f t="shared" si="30"/>
        <v>ALBATROSS</v>
      </c>
      <c r="CC26" s="283" t="str">
        <f t="shared" si="30"/>
        <v>ALBATROSS</v>
      </c>
      <c r="CD26" s="283" t="str">
        <f t="shared" si="30"/>
        <v>QUAD+</v>
      </c>
      <c r="CE26" s="283" t="str">
        <f t="shared" si="30"/>
        <v>QUAD+</v>
      </c>
      <c r="CF26" s="283" t="str">
        <f t="shared" si="30"/>
        <v>QUAD+</v>
      </c>
      <c r="CG26" s="283" t="str">
        <f t="shared" si="30"/>
        <v>QUAD+</v>
      </c>
      <c r="CH26" s="283" t="str">
        <f t="shared" si="30"/>
        <v>QUAD+</v>
      </c>
      <c r="CI26" s="283" t="str">
        <f t="shared" si="30"/>
        <v>QUAD+</v>
      </c>
      <c r="CJ26" s="283" t="str">
        <f t="shared" si="30"/>
        <v>QUAD+</v>
      </c>
      <c r="CK26" s="283" t="str">
        <f t="shared" si="30"/>
        <v>QUAD+</v>
      </c>
      <c r="CL26" s="283" t="str">
        <f t="shared" si="30"/>
        <v>QUAD+</v>
      </c>
      <c r="CM26" s="283" t="str">
        <f t="shared" si="30"/>
        <v>QUAD+</v>
      </c>
      <c r="CN26" s="283" t="str">
        <f t="shared" si="30"/>
        <v>CONDOR</v>
      </c>
      <c r="CO26" s="283" t="str">
        <f t="shared" si="30"/>
        <v>BOGEY</v>
      </c>
      <c r="CP26" s="283" t="str">
        <f t="shared" si="30"/>
        <v>ALBATROSS</v>
      </c>
      <c r="CQ26" s="283" t="b">
        <f t="shared" si="30"/>
        <v>0</v>
      </c>
      <c r="CR26" s="283" t="str">
        <f t="shared" si="30"/>
        <v>CONDOR</v>
      </c>
      <c r="CS26" s="283" t="str">
        <f t="shared" si="30"/>
        <v>CONDOR</v>
      </c>
      <c r="CT26" s="283" t="str">
        <f t="shared" si="30"/>
        <v>ALBATROSS</v>
      </c>
      <c r="CU26" s="283" t="str">
        <f t="shared" si="30"/>
        <v>CONDOR</v>
      </c>
      <c r="CV26" s="283" t="str">
        <f t="shared" si="30"/>
        <v>CONDOR</v>
      </c>
      <c r="CW26" s="283" t="str">
        <f t="shared" si="30"/>
        <v>CONDOR</v>
      </c>
      <c r="CX26" s="283" t="str">
        <f t="shared" si="30"/>
        <v>CONDOR</v>
      </c>
      <c r="CY26" s="283" t="b">
        <f t="shared" si="30"/>
        <v>0</v>
      </c>
      <c r="CZ26" s="283" t="str">
        <f t="shared" si="30"/>
        <v>CONDOR</v>
      </c>
      <c r="DA26" s="283" t="str">
        <f t="shared" si="30"/>
        <v>ALBATROSS</v>
      </c>
      <c r="DB26" s="283" t="str">
        <f t="shared" si="30"/>
        <v>CONDOR</v>
      </c>
      <c r="DC26" s="283" t="str">
        <f t="shared" si="30"/>
        <v>CONDOR</v>
      </c>
      <c r="DD26" s="283" t="str">
        <f t="shared" si="30"/>
        <v>ALBATROSS</v>
      </c>
      <c r="DE26" s="283" t="b">
        <f t="shared" si="30"/>
        <v>0</v>
      </c>
    </row>
    <row r="27" spans="1:109" x14ac:dyDescent="0.2">
      <c r="A27" t="str">
        <f t="shared" si="27"/>
        <v>DONOVAN</v>
      </c>
      <c r="B27" s="283" t="str">
        <f t="shared" ref="B27:G27" si="31">IF(B17=-4,"CONDOR",IF(B17=-3,"ALBATROSS",IF(B17=-2,"EAGLE",IF(B17=-1,"BIRDY",IF(B17=0,"PAR",IF(B17=1,"BOGEY",IF(B17=2,"DOUBLE",IF(B17=3,"TRIPLE",IF(B17&gt;=4,"QUAD+")))))))))</f>
        <v>BOGEY</v>
      </c>
      <c r="C27" s="283" t="str">
        <f t="shared" si="31"/>
        <v>QUAD+</v>
      </c>
      <c r="D27" s="283" t="str">
        <f t="shared" si="31"/>
        <v>DOUBLE</v>
      </c>
      <c r="E27" s="283" t="str">
        <f t="shared" si="31"/>
        <v>QUAD+</v>
      </c>
      <c r="F27" s="283" t="str">
        <f t="shared" si="31"/>
        <v>DOUBLE</v>
      </c>
      <c r="G27" s="283" t="str">
        <f t="shared" si="31"/>
        <v>QUAD+</v>
      </c>
      <c r="H27" s="283" t="str">
        <f t="shared" ref="H27:BS27" si="32">IF(H17=-4,"CONDOR",IF(H17=-3,"ALBATROSS",IF(H17=-2,"EAGLE",IF(H17=-1,"BIRDY",IF(H17=0,"PAR",IF(H17=1,"BOGEY",IF(H17=2,"DOUBLE",IF(H17=3,"TRIPLE",IF(H17&gt;=4,"QUAD+")))))))))</f>
        <v>DOUBLE</v>
      </c>
      <c r="I27" s="283" t="str">
        <f t="shared" si="32"/>
        <v>QUAD+</v>
      </c>
      <c r="J27" s="283" t="b">
        <f t="shared" si="32"/>
        <v>0</v>
      </c>
      <c r="K27" s="283" t="b">
        <f t="shared" si="32"/>
        <v>0</v>
      </c>
      <c r="L27" s="283" t="str">
        <f t="shared" si="32"/>
        <v>CONDOR</v>
      </c>
      <c r="M27" s="283" t="str">
        <f t="shared" si="32"/>
        <v>ALBATROSS</v>
      </c>
      <c r="N27" s="283" t="b">
        <f t="shared" si="32"/>
        <v>0</v>
      </c>
      <c r="O27" s="283" t="str">
        <f t="shared" si="32"/>
        <v>CONDOR</v>
      </c>
      <c r="P27" s="283" t="b">
        <f t="shared" si="32"/>
        <v>0</v>
      </c>
      <c r="Q27" s="283" t="str">
        <f t="shared" si="32"/>
        <v>CONDOR</v>
      </c>
      <c r="R27" s="283" t="str">
        <f t="shared" si="32"/>
        <v>ALBATROSS</v>
      </c>
      <c r="S27" s="283" t="str">
        <f t="shared" si="32"/>
        <v>CONDOR</v>
      </c>
      <c r="T27" s="283" t="str">
        <f t="shared" si="32"/>
        <v>PAR</v>
      </c>
      <c r="U27" s="283" t="str">
        <f t="shared" si="32"/>
        <v>QUAD+</v>
      </c>
      <c r="V27" s="283" t="str">
        <f t="shared" si="32"/>
        <v>BIRDY</v>
      </c>
      <c r="W27" s="283" t="str">
        <f t="shared" si="32"/>
        <v>EAGLE</v>
      </c>
      <c r="X27" s="283" t="str">
        <f t="shared" si="32"/>
        <v>PAR</v>
      </c>
      <c r="Y27" s="283" t="str">
        <f t="shared" si="32"/>
        <v>BIRDY</v>
      </c>
      <c r="Z27" s="283" t="str">
        <f t="shared" si="32"/>
        <v>BOGEY</v>
      </c>
      <c r="AA27" s="283" t="str">
        <f t="shared" si="32"/>
        <v>PAR</v>
      </c>
      <c r="AB27" s="283" t="str">
        <f t="shared" si="32"/>
        <v>BIRDY</v>
      </c>
      <c r="AC27" s="283" t="str">
        <f t="shared" si="32"/>
        <v>PAR</v>
      </c>
      <c r="AD27" s="283" t="str">
        <f t="shared" si="32"/>
        <v>BIRDY</v>
      </c>
      <c r="AE27" s="283" t="str">
        <f t="shared" si="32"/>
        <v>PAR</v>
      </c>
      <c r="AF27" s="283" t="str">
        <f t="shared" si="32"/>
        <v>PAR</v>
      </c>
      <c r="AG27" s="283" t="str">
        <f t="shared" si="32"/>
        <v>BOGEY</v>
      </c>
      <c r="AH27" s="283" t="str">
        <f t="shared" si="32"/>
        <v>BIRDY</v>
      </c>
      <c r="AI27" s="283" t="str">
        <f t="shared" si="32"/>
        <v>PAR</v>
      </c>
      <c r="AJ27" s="283" t="str">
        <f t="shared" si="32"/>
        <v>BOGEY</v>
      </c>
      <c r="AK27" s="283" t="str">
        <f t="shared" si="32"/>
        <v>QUAD+</v>
      </c>
      <c r="AL27" s="283" t="str">
        <f t="shared" si="32"/>
        <v>BOGEY</v>
      </c>
      <c r="AM27" s="283" t="str">
        <f t="shared" si="32"/>
        <v>PAR</v>
      </c>
      <c r="AN27" s="283" t="str">
        <f t="shared" si="32"/>
        <v>DOUBLE</v>
      </c>
      <c r="AO27" s="283" t="str">
        <f t="shared" si="32"/>
        <v>PAR</v>
      </c>
      <c r="AP27" s="283" t="str">
        <f t="shared" si="32"/>
        <v>BOGEY</v>
      </c>
      <c r="AQ27" s="283" t="str">
        <f t="shared" si="32"/>
        <v>BOGEY</v>
      </c>
      <c r="AR27" s="283" t="str">
        <f t="shared" si="32"/>
        <v>DOUBLE</v>
      </c>
      <c r="AS27" s="283" t="str">
        <f t="shared" si="32"/>
        <v>BOGEY</v>
      </c>
      <c r="AT27" s="283" t="str">
        <f t="shared" si="32"/>
        <v>BOGEY</v>
      </c>
      <c r="AU27" s="283" t="str">
        <f t="shared" si="32"/>
        <v>BOGEY</v>
      </c>
      <c r="AV27" s="283" t="str">
        <f t="shared" si="32"/>
        <v>BOGEY</v>
      </c>
      <c r="AW27" s="283" t="str">
        <f t="shared" si="32"/>
        <v>PAR</v>
      </c>
      <c r="AX27" s="283" t="str">
        <f t="shared" si="32"/>
        <v>BOGEY</v>
      </c>
      <c r="AY27" s="283" t="str">
        <f t="shared" si="32"/>
        <v>DOUBLE</v>
      </c>
      <c r="AZ27" s="283" t="str">
        <f t="shared" si="32"/>
        <v>BOGEY</v>
      </c>
      <c r="BA27" s="283" t="str">
        <f t="shared" si="32"/>
        <v>BOGEY</v>
      </c>
      <c r="BB27" s="283" t="str">
        <f t="shared" si="32"/>
        <v>DOUBLE</v>
      </c>
      <c r="BC27" s="283" t="str">
        <f t="shared" si="32"/>
        <v>PAR</v>
      </c>
      <c r="BD27" s="283" t="str">
        <f t="shared" si="32"/>
        <v>TRIPLE</v>
      </c>
      <c r="BE27" s="283" t="str">
        <f t="shared" si="32"/>
        <v>BOGEY</v>
      </c>
      <c r="BF27" s="283" t="str">
        <f t="shared" si="32"/>
        <v>PAR</v>
      </c>
      <c r="BG27" s="283" t="str">
        <f t="shared" si="32"/>
        <v>DOUBLE</v>
      </c>
      <c r="BH27" s="283" t="str">
        <f t="shared" si="32"/>
        <v>BOGEY</v>
      </c>
      <c r="BI27" s="283" t="str">
        <f t="shared" si="32"/>
        <v>PAR</v>
      </c>
      <c r="BJ27" s="283" t="str">
        <f t="shared" si="32"/>
        <v>BOGEY</v>
      </c>
      <c r="BK27" s="283" t="str">
        <f t="shared" si="32"/>
        <v>BOGEY</v>
      </c>
      <c r="BL27" s="283" t="str">
        <f t="shared" si="32"/>
        <v>BOGEY</v>
      </c>
      <c r="BM27" s="283" t="str">
        <f t="shared" si="32"/>
        <v>DOUBLE</v>
      </c>
      <c r="BN27" s="283" t="str">
        <f t="shared" si="32"/>
        <v>BOGEY</v>
      </c>
      <c r="BO27" s="283" t="str">
        <f t="shared" si="32"/>
        <v>PAR</v>
      </c>
      <c r="BP27" s="283" t="str">
        <f t="shared" si="32"/>
        <v>DOUBLE</v>
      </c>
      <c r="BQ27" s="283" t="str">
        <f t="shared" si="32"/>
        <v>BOGEY</v>
      </c>
      <c r="BR27" s="283" t="str">
        <f t="shared" si="32"/>
        <v>PAR</v>
      </c>
      <c r="BS27" s="283" t="str">
        <f t="shared" si="32"/>
        <v>BOGEY</v>
      </c>
      <c r="BT27" s="283" t="str">
        <f t="shared" ref="BT27:DE27" si="33">IF(BT17=-4,"CONDOR",IF(BT17=-3,"ALBATROSS",IF(BT17=-2,"EAGLE",IF(BT17=-1,"BIRDY",IF(BT17=0,"PAR",IF(BT17=1,"BOGEY",IF(BT17=2,"DOUBLE",IF(BT17=3,"TRIPLE",IF(BT17&gt;=4,"QUAD+")))))))))</f>
        <v>BOGEY</v>
      </c>
      <c r="BU27" s="283" t="str">
        <f t="shared" si="33"/>
        <v>BOGEY</v>
      </c>
      <c r="BV27" s="283" t="str">
        <f t="shared" si="33"/>
        <v>BOGEY</v>
      </c>
      <c r="BW27" s="283" t="str">
        <f t="shared" si="33"/>
        <v>QUAD+</v>
      </c>
      <c r="BX27" s="283" t="str">
        <f t="shared" si="33"/>
        <v>EAGLE</v>
      </c>
      <c r="BY27" s="283" t="str">
        <f t="shared" si="33"/>
        <v>BIRDY</v>
      </c>
      <c r="BZ27" s="283" t="str">
        <f t="shared" si="33"/>
        <v>PAR</v>
      </c>
      <c r="CA27" s="283" t="str">
        <f t="shared" si="33"/>
        <v>BIRDY</v>
      </c>
      <c r="CB27" s="283" t="str">
        <f t="shared" si="33"/>
        <v>PAR</v>
      </c>
      <c r="CC27" s="283" t="str">
        <f t="shared" si="33"/>
        <v>PAR</v>
      </c>
      <c r="CD27" s="283" t="str">
        <f t="shared" si="33"/>
        <v>PAR</v>
      </c>
      <c r="CE27" s="283" t="str">
        <f t="shared" si="33"/>
        <v>BOGEY</v>
      </c>
      <c r="CF27" s="283" t="str">
        <f t="shared" si="33"/>
        <v>PAR</v>
      </c>
      <c r="CG27" s="283" t="str">
        <f t="shared" si="33"/>
        <v>BIRDY</v>
      </c>
      <c r="CH27" s="283" t="str">
        <f t="shared" si="33"/>
        <v>BOGEY</v>
      </c>
      <c r="CI27" s="283" t="str">
        <f t="shared" si="33"/>
        <v>PAR</v>
      </c>
      <c r="CJ27" s="283" t="str">
        <f t="shared" si="33"/>
        <v>BIRDY</v>
      </c>
      <c r="CK27" s="283" t="str">
        <f t="shared" si="33"/>
        <v>PAR</v>
      </c>
      <c r="CL27" s="283" t="str">
        <f t="shared" si="33"/>
        <v>PAR</v>
      </c>
      <c r="CM27" s="283" t="str">
        <f t="shared" si="33"/>
        <v>QUAD+</v>
      </c>
      <c r="CN27" s="283" t="str">
        <f t="shared" si="33"/>
        <v>CONDOR</v>
      </c>
      <c r="CO27" s="283" t="b">
        <f t="shared" si="33"/>
        <v>0</v>
      </c>
      <c r="CP27" s="283" t="str">
        <f t="shared" si="33"/>
        <v>DOUBLE</v>
      </c>
      <c r="CQ27" s="283" t="b">
        <f t="shared" si="33"/>
        <v>0</v>
      </c>
      <c r="CR27" s="283" t="str">
        <f t="shared" si="33"/>
        <v>CONDOR</v>
      </c>
      <c r="CS27" s="283" t="str">
        <f t="shared" si="33"/>
        <v>CONDOR</v>
      </c>
      <c r="CT27" s="283" t="str">
        <f t="shared" si="33"/>
        <v>ALBATROSS</v>
      </c>
      <c r="CU27" s="283" t="str">
        <f t="shared" si="33"/>
        <v>CONDOR</v>
      </c>
      <c r="CV27" s="283" t="str">
        <f t="shared" si="33"/>
        <v>CONDOR</v>
      </c>
      <c r="CW27" s="283" t="str">
        <f t="shared" si="33"/>
        <v>CONDOR</v>
      </c>
      <c r="CX27" s="283" t="str">
        <f t="shared" si="33"/>
        <v>CONDOR</v>
      </c>
      <c r="CY27" s="283" t="b">
        <f t="shared" si="33"/>
        <v>0</v>
      </c>
      <c r="CZ27" s="283" t="str">
        <f t="shared" si="33"/>
        <v>CONDOR</v>
      </c>
      <c r="DA27" s="283" t="str">
        <f t="shared" si="33"/>
        <v>ALBATROSS</v>
      </c>
      <c r="DB27" s="283" t="str">
        <f t="shared" si="33"/>
        <v>CONDOR</v>
      </c>
      <c r="DC27" s="283" t="str">
        <f t="shared" si="33"/>
        <v>CONDOR</v>
      </c>
      <c r="DD27" s="283" t="str">
        <f t="shared" si="33"/>
        <v>ALBATROSS</v>
      </c>
      <c r="DE27" s="283" t="b">
        <f t="shared" si="33"/>
        <v>0</v>
      </c>
    </row>
    <row r="28" spans="1:109" x14ac:dyDescent="0.2">
      <c r="A28" t="str">
        <f t="shared" si="27"/>
        <v>FINDLAY</v>
      </c>
      <c r="B28" s="283" t="str">
        <f t="shared" ref="B28:G28" si="34">IF(B18=-4,"CONDOR",IF(B18=-3,"ALBATROSS",IF(B18=-2,"EAGLE",IF(B18=-1,"BIRDY",IF(B18=0,"PAR",IF(B18=1,"BOGEY",IF(B18=2,"DOUBLE",IF(B18=3,"TRIPLE",IF(B18&gt;=4,"QUAD+")))))))))</f>
        <v>BOGEY</v>
      </c>
      <c r="C28" s="283" t="str">
        <f t="shared" si="34"/>
        <v>BOGEY</v>
      </c>
      <c r="D28" s="283" t="str">
        <f t="shared" si="34"/>
        <v>DOUBLE</v>
      </c>
      <c r="E28" s="283" t="str">
        <f t="shared" si="34"/>
        <v>PAR</v>
      </c>
      <c r="F28" s="283" t="str">
        <f t="shared" si="34"/>
        <v>DOUBLE</v>
      </c>
      <c r="G28" s="283" t="str">
        <f t="shared" si="34"/>
        <v>QUAD+</v>
      </c>
      <c r="H28" s="283" t="str">
        <f t="shared" ref="H28:BS28" si="35">IF(H18=-4,"CONDOR",IF(H18=-3,"ALBATROSS",IF(H18=-2,"EAGLE",IF(H18=-1,"BIRDY",IF(H18=0,"PAR",IF(H18=1,"BOGEY",IF(H18=2,"DOUBLE",IF(H18=3,"TRIPLE",IF(H18&gt;=4,"QUAD+")))))))))</f>
        <v>DOUBLE</v>
      </c>
      <c r="I28" s="283" t="str">
        <f t="shared" si="35"/>
        <v>BOGEY</v>
      </c>
      <c r="J28" s="283" t="b">
        <f t="shared" si="35"/>
        <v>0</v>
      </c>
      <c r="K28" s="283" t="b">
        <f t="shared" si="35"/>
        <v>0</v>
      </c>
      <c r="L28" s="283" t="str">
        <f t="shared" si="35"/>
        <v>CONDOR</v>
      </c>
      <c r="M28" s="283" t="str">
        <f t="shared" si="35"/>
        <v>ALBATROSS</v>
      </c>
      <c r="N28" s="283" t="b">
        <f t="shared" si="35"/>
        <v>0</v>
      </c>
      <c r="O28" s="283" t="str">
        <f t="shared" si="35"/>
        <v>CONDOR</v>
      </c>
      <c r="P28" s="283" t="b">
        <f t="shared" si="35"/>
        <v>0</v>
      </c>
      <c r="Q28" s="283" t="str">
        <f t="shared" si="35"/>
        <v>CONDOR</v>
      </c>
      <c r="R28" s="283" t="str">
        <f t="shared" si="35"/>
        <v>ALBATROSS</v>
      </c>
      <c r="S28" s="283" t="str">
        <f t="shared" si="35"/>
        <v>CONDOR</v>
      </c>
      <c r="T28" s="283" t="str">
        <f t="shared" si="35"/>
        <v>EAGLE</v>
      </c>
      <c r="U28" s="283" t="str">
        <f t="shared" si="35"/>
        <v>PAR</v>
      </c>
      <c r="V28" s="283" t="str">
        <f t="shared" si="35"/>
        <v>DOUBLE</v>
      </c>
      <c r="W28" s="283" t="str">
        <f t="shared" si="35"/>
        <v>BIRDY</v>
      </c>
      <c r="X28" s="283" t="str">
        <f t="shared" si="35"/>
        <v>EAGLE</v>
      </c>
      <c r="Y28" s="283" t="str">
        <f t="shared" si="35"/>
        <v>ALBATROSS</v>
      </c>
      <c r="Z28" s="283" t="str">
        <f t="shared" si="35"/>
        <v>BIRDY</v>
      </c>
      <c r="AA28" s="283" t="str">
        <f t="shared" si="35"/>
        <v>ALBATROSS</v>
      </c>
      <c r="AB28" s="283" t="str">
        <f t="shared" si="35"/>
        <v>BIRDY</v>
      </c>
      <c r="AC28" s="283" t="str">
        <f t="shared" si="35"/>
        <v>EAGLE</v>
      </c>
      <c r="AD28" s="283" t="str">
        <f t="shared" si="35"/>
        <v>ALBATROSS</v>
      </c>
      <c r="AE28" s="283" t="str">
        <f t="shared" si="35"/>
        <v>EAGLE</v>
      </c>
      <c r="AF28" s="283" t="str">
        <f t="shared" si="35"/>
        <v>EAGLE</v>
      </c>
      <c r="AG28" s="283" t="str">
        <f t="shared" si="35"/>
        <v>BIRDY</v>
      </c>
      <c r="AH28" s="283" t="str">
        <f t="shared" si="35"/>
        <v>BOGEY</v>
      </c>
      <c r="AI28" s="283" t="str">
        <f t="shared" si="35"/>
        <v>DOUBLE</v>
      </c>
      <c r="AJ28" s="283" t="str">
        <f t="shared" si="35"/>
        <v>TRIPLE</v>
      </c>
      <c r="AK28" s="283" t="str">
        <f t="shared" si="35"/>
        <v>TRIPLE</v>
      </c>
      <c r="AL28" s="283" t="str">
        <f t="shared" si="35"/>
        <v>BOGEY</v>
      </c>
      <c r="AM28" s="283" t="str">
        <f t="shared" si="35"/>
        <v>PAR</v>
      </c>
      <c r="AN28" s="283" t="str">
        <f t="shared" si="35"/>
        <v>DOUBLE</v>
      </c>
      <c r="AO28" s="283" t="str">
        <f t="shared" si="35"/>
        <v>PAR</v>
      </c>
      <c r="AP28" s="283" t="str">
        <f t="shared" si="35"/>
        <v>BOGEY</v>
      </c>
      <c r="AQ28" s="283" t="str">
        <f t="shared" si="35"/>
        <v>BOGEY</v>
      </c>
      <c r="AR28" s="283" t="str">
        <f t="shared" si="35"/>
        <v>DOUBLE</v>
      </c>
      <c r="AS28" s="283" t="str">
        <f t="shared" si="35"/>
        <v>BOGEY</v>
      </c>
      <c r="AT28" s="283" t="str">
        <f t="shared" si="35"/>
        <v>BOGEY</v>
      </c>
      <c r="AU28" s="283" t="str">
        <f t="shared" si="35"/>
        <v>BOGEY</v>
      </c>
      <c r="AV28" s="283" t="str">
        <f t="shared" si="35"/>
        <v>BOGEY</v>
      </c>
      <c r="AW28" s="283" t="str">
        <f t="shared" si="35"/>
        <v>PAR</v>
      </c>
      <c r="AX28" s="283" t="str">
        <f t="shared" si="35"/>
        <v>BOGEY</v>
      </c>
      <c r="AY28" s="283" t="str">
        <f t="shared" si="35"/>
        <v>DOUBLE</v>
      </c>
      <c r="AZ28" s="283" t="str">
        <f t="shared" si="35"/>
        <v>BOGEY</v>
      </c>
      <c r="BA28" s="283" t="str">
        <f t="shared" si="35"/>
        <v>BOGEY</v>
      </c>
      <c r="BB28" s="283" t="str">
        <f t="shared" si="35"/>
        <v>DOUBLE</v>
      </c>
      <c r="BC28" s="283" t="str">
        <f t="shared" si="35"/>
        <v>PAR</v>
      </c>
      <c r="BD28" s="283" t="str">
        <f t="shared" si="35"/>
        <v>QUAD+</v>
      </c>
      <c r="BE28" s="283" t="str">
        <f t="shared" si="35"/>
        <v>BOGEY</v>
      </c>
      <c r="BF28" s="283" t="str">
        <f t="shared" si="35"/>
        <v>PAR</v>
      </c>
      <c r="BG28" s="283" t="str">
        <f t="shared" si="35"/>
        <v>DOUBLE</v>
      </c>
      <c r="BH28" s="283" t="str">
        <f t="shared" si="35"/>
        <v>BOGEY</v>
      </c>
      <c r="BI28" s="283" t="str">
        <f t="shared" si="35"/>
        <v>PAR</v>
      </c>
      <c r="BJ28" s="283" t="str">
        <f t="shared" si="35"/>
        <v>BOGEY</v>
      </c>
      <c r="BK28" s="283" t="str">
        <f t="shared" si="35"/>
        <v>BOGEY</v>
      </c>
      <c r="BL28" s="283" t="str">
        <f t="shared" si="35"/>
        <v>BOGEY</v>
      </c>
      <c r="BM28" s="283" t="str">
        <f t="shared" si="35"/>
        <v>DOUBLE</v>
      </c>
      <c r="BN28" s="283" t="str">
        <f t="shared" si="35"/>
        <v>BOGEY</v>
      </c>
      <c r="BO28" s="283" t="str">
        <f t="shared" si="35"/>
        <v>PAR</v>
      </c>
      <c r="BP28" s="283" t="str">
        <f t="shared" si="35"/>
        <v>DOUBLE</v>
      </c>
      <c r="BQ28" s="283" t="str">
        <f t="shared" si="35"/>
        <v>BOGEY</v>
      </c>
      <c r="BR28" s="283" t="str">
        <f t="shared" si="35"/>
        <v>PAR</v>
      </c>
      <c r="BS28" s="283" t="str">
        <f t="shared" si="35"/>
        <v>BOGEY</v>
      </c>
      <c r="BT28" s="283" t="str">
        <f t="shared" ref="BT28:DE28" si="36">IF(BT18=-4,"CONDOR",IF(BT18=-3,"ALBATROSS",IF(BT18=-2,"EAGLE",IF(BT18=-1,"BIRDY",IF(BT18=0,"PAR",IF(BT18=1,"BOGEY",IF(BT18=2,"DOUBLE",IF(BT18=3,"TRIPLE",IF(BT18&gt;=4,"QUAD+")))))))))</f>
        <v>BOGEY</v>
      </c>
      <c r="BU28" s="283" t="str">
        <f t="shared" si="36"/>
        <v>BOGEY</v>
      </c>
      <c r="BV28" s="283" t="str">
        <f t="shared" si="36"/>
        <v>DOUBLE</v>
      </c>
      <c r="BW28" s="283" t="str">
        <f t="shared" si="36"/>
        <v>QUAD+</v>
      </c>
      <c r="BX28" s="283" t="str">
        <f t="shared" si="36"/>
        <v>PAR</v>
      </c>
      <c r="BY28" s="283" t="str">
        <f t="shared" si="36"/>
        <v>DOUBLE</v>
      </c>
      <c r="BZ28" s="283" t="str">
        <f t="shared" si="36"/>
        <v>BOGEY</v>
      </c>
      <c r="CA28" s="283" t="str">
        <f t="shared" si="36"/>
        <v>PAR</v>
      </c>
      <c r="CB28" s="283" t="str">
        <f t="shared" si="36"/>
        <v>ALBATROSS</v>
      </c>
      <c r="CC28" s="283" t="str">
        <f t="shared" si="36"/>
        <v>ALBATROSS</v>
      </c>
      <c r="CD28" s="283" t="str">
        <f t="shared" si="36"/>
        <v>ALBATROSS</v>
      </c>
      <c r="CE28" s="283" t="str">
        <f t="shared" si="36"/>
        <v>EAGLE</v>
      </c>
      <c r="CF28" s="283" t="str">
        <f t="shared" si="36"/>
        <v>ALBATROSS</v>
      </c>
      <c r="CG28" s="283" t="str">
        <f t="shared" si="36"/>
        <v>CONDOR</v>
      </c>
      <c r="CH28" s="283" t="str">
        <f t="shared" si="36"/>
        <v>EAGLE</v>
      </c>
      <c r="CI28" s="283" t="str">
        <f t="shared" si="36"/>
        <v>ALBATROSS</v>
      </c>
      <c r="CJ28" s="283" t="str">
        <f t="shared" si="36"/>
        <v>PAR</v>
      </c>
      <c r="CK28" s="283" t="str">
        <f t="shared" si="36"/>
        <v>BOGEY</v>
      </c>
      <c r="CL28" s="283" t="str">
        <f t="shared" si="36"/>
        <v>BOGEY</v>
      </c>
      <c r="CM28" s="283" t="str">
        <f t="shared" si="36"/>
        <v>TRIPLE</v>
      </c>
      <c r="CN28" s="283" t="str">
        <f t="shared" si="36"/>
        <v>CONDOR</v>
      </c>
      <c r="CO28" s="283" t="b">
        <f t="shared" si="36"/>
        <v>0</v>
      </c>
      <c r="CP28" s="283" t="str">
        <f t="shared" si="36"/>
        <v>ALBATROSS</v>
      </c>
      <c r="CQ28" s="283" t="str">
        <f t="shared" si="36"/>
        <v>BIRDY</v>
      </c>
      <c r="CR28" s="283" t="str">
        <f t="shared" si="36"/>
        <v>CONDOR</v>
      </c>
      <c r="CS28" s="283" t="str">
        <f t="shared" si="36"/>
        <v>CONDOR</v>
      </c>
      <c r="CT28" s="283" t="str">
        <f t="shared" si="36"/>
        <v>ALBATROSS</v>
      </c>
      <c r="CU28" s="283" t="str">
        <f t="shared" si="36"/>
        <v>CONDOR</v>
      </c>
      <c r="CV28" s="283" t="str">
        <f t="shared" si="36"/>
        <v>CONDOR</v>
      </c>
      <c r="CW28" s="283" t="str">
        <f t="shared" si="36"/>
        <v>CONDOR</v>
      </c>
      <c r="CX28" s="283" t="str">
        <f t="shared" si="36"/>
        <v>CONDOR</v>
      </c>
      <c r="CY28" s="283" t="b">
        <f t="shared" si="36"/>
        <v>0</v>
      </c>
      <c r="CZ28" s="283" t="str">
        <f t="shared" si="36"/>
        <v>CONDOR</v>
      </c>
      <c r="DA28" s="283" t="str">
        <f t="shared" si="36"/>
        <v>ALBATROSS</v>
      </c>
      <c r="DB28" s="283" t="str">
        <f t="shared" si="36"/>
        <v>CONDOR</v>
      </c>
      <c r="DC28" s="283" t="str">
        <f t="shared" si="36"/>
        <v>CONDOR</v>
      </c>
      <c r="DD28" s="283" t="str">
        <f t="shared" si="36"/>
        <v>ALBATROSS</v>
      </c>
      <c r="DE28" s="283" t="b">
        <f t="shared" si="36"/>
        <v>0</v>
      </c>
    </row>
    <row r="29" spans="1:109" x14ac:dyDescent="0.2">
      <c r="A29" t="str">
        <f t="shared" si="27"/>
        <v>HOLLANDS</v>
      </c>
      <c r="B29" s="283" t="str">
        <f t="shared" ref="B29:G29" si="37">IF(B19=-4,"CONDOR",IF(B19=-3,"ALBATROSS",IF(B19=-2,"EAGLE",IF(B19=-1,"BIRDY",IF(B19=0,"PAR",IF(B19=1,"BOGEY",IF(B19=2,"DOUBLE",IF(B19=3,"TRIPLE",IF(B19&gt;=4,"QUAD+")))))))))</f>
        <v>DOUBLE</v>
      </c>
      <c r="C29" s="283" t="str">
        <f t="shared" si="37"/>
        <v>BOGEY</v>
      </c>
      <c r="D29" s="283" t="str">
        <f t="shared" si="37"/>
        <v>DOUBLE</v>
      </c>
      <c r="E29" s="283" t="str">
        <f t="shared" si="37"/>
        <v>QUAD+</v>
      </c>
      <c r="F29" s="283" t="str">
        <f t="shared" si="37"/>
        <v>DOUBLE</v>
      </c>
      <c r="G29" s="283" t="str">
        <f t="shared" si="37"/>
        <v>QUAD+</v>
      </c>
      <c r="H29" s="283" t="str">
        <f t="shared" ref="H29:BS29" si="38">IF(H19=-4,"CONDOR",IF(H19=-3,"ALBATROSS",IF(H19=-2,"EAGLE",IF(H19=-1,"BIRDY",IF(H19=0,"PAR",IF(H19=1,"BOGEY",IF(H19=2,"DOUBLE",IF(H19=3,"TRIPLE",IF(H19&gt;=4,"QUAD+")))))))))</f>
        <v>DOUBLE</v>
      </c>
      <c r="I29" s="283" t="str">
        <f t="shared" si="38"/>
        <v>QUAD+</v>
      </c>
      <c r="J29" s="283" t="b">
        <f t="shared" si="38"/>
        <v>0</v>
      </c>
      <c r="K29" s="283" t="b">
        <f t="shared" si="38"/>
        <v>0</v>
      </c>
      <c r="L29" s="283" t="str">
        <f t="shared" si="38"/>
        <v>CONDOR</v>
      </c>
      <c r="M29" s="283" t="str">
        <f t="shared" si="38"/>
        <v>ALBATROSS</v>
      </c>
      <c r="N29" s="283" t="b">
        <f t="shared" si="38"/>
        <v>0</v>
      </c>
      <c r="O29" s="283" t="str">
        <f t="shared" si="38"/>
        <v>CONDOR</v>
      </c>
      <c r="P29" s="283" t="b">
        <f t="shared" si="38"/>
        <v>0</v>
      </c>
      <c r="Q29" s="283" t="str">
        <f t="shared" si="38"/>
        <v>CONDOR</v>
      </c>
      <c r="R29" s="283" t="str">
        <f t="shared" si="38"/>
        <v>ALBATROSS</v>
      </c>
      <c r="S29" s="283" t="str">
        <f t="shared" si="38"/>
        <v>CONDOR</v>
      </c>
      <c r="T29" s="283" t="str">
        <f t="shared" si="38"/>
        <v>EAGLE</v>
      </c>
      <c r="U29" s="283" t="str">
        <f t="shared" si="38"/>
        <v>PAR</v>
      </c>
      <c r="V29" s="283" t="str">
        <f t="shared" si="38"/>
        <v>DOUBLE</v>
      </c>
      <c r="W29" s="283" t="str">
        <f t="shared" si="38"/>
        <v>BIRDY</v>
      </c>
      <c r="X29" s="283" t="str">
        <f t="shared" si="38"/>
        <v>EAGLE</v>
      </c>
      <c r="Y29" s="283" t="str">
        <f t="shared" si="38"/>
        <v>ALBATROSS</v>
      </c>
      <c r="Z29" s="283" t="str">
        <f t="shared" si="38"/>
        <v>BIRDY</v>
      </c>
      <c r="AA29" s="283" t="str">
        <f t="shared" si="38"/>
        <v>ALBATROSS</v>
      </c>
      <c r="AB29" s="283" t="str">
        <f t="shared" si="38"/>
        <v>BIRDY</v>
      </c>
      <c r="AC29" s="283" t="str">
        <f t="shared" si="38"/>
        <v>EAGLE</v>
      </c>
      <c r="AD29" s="283" t="str">
        <f t="shared" si="38"/>
        <v>ALBATROSS</v>
      </c>
      <c r="AE29" s="283" t="str">
        <f t="shared" si="38"/>
        <v>EAGLE</v>
      </c>
      <c r="AF29" s="283" t="str">
        <f t="shared" si="38"/>
        <v>EAGLE</v>
      </c>
      <c r="AG29" s="283" t="str">
        <f t="shared" si="38"/>
        <v>BIRDY</v>
      </c>
      <c r="AH29" s="283" t="str">
        <f t="shared" si="38"/>
        <v>BOGEY</v>
      </c>
      <c r="AI29" s="283" t="str">
        <f t="shared" si="38"/>
        <v>DOUBLE</v>
      </c>
      <c r="AJ29" s="283" t="str">
        <f t="shared" si="38"/>
        <v>TRIPLE</v>
      </c>
      <c r="AK29" s="283" t="str">
        <f t="shared" si="38"/>
        <v>TRIPLE</v>
      </c>
      <c r="AL29" s="283" t="str">
        <f t="shared" si="38"/>
        <v>BOGEY</v>
      </c>
      <c r="AM29" s="283" t="str">
        <f t="shared" si="38"/>
        <v>PAR</v>
      </c>
      <c r="AN29" s="283" t="str">
        <f t="shared" si="38"/>
        <v>DOUBLE</v>
      </c>
      <c r="AO29" s="283" t="str">
        <f t="shared" si="38"/>
        <v>PAR</v>
      </c>
      <c r="AP29" s="283" t="str">
        <f t="shared" si="38"/>
        <v>BOGEY</v>
      </c>
      <c r="AQ29" s="283" t="str">
        <f t="shared" si="38"/>
        <v>BOGEY</v>
      </c>
      <c r="AR29" s="283" t="str">
        <f t="shared" si="38"/>
        <v>DOUBLE</v>
      </c>
      <c r="AS29" s="283" t="str">
        <f t="shared" si="38"/>
        <v>BOGEY</v>
      </c>
      <c r="AT29" s="283" t="str">
        <f t="shared" si="38"/>
        <v>BOGEY</v>
      </c>
      <c r="AU29" s="283" t="str">
        <f t="shared" si="38"/>
        <v>BOGEY</v>
      </c>
      <c r="AV29" s="283" t="str">
        <f t="shared" si="38"/>
        <v>BOGEY</v>
      </c>
      <c r="AW29" s="283" t="str">
        <f t="shared" si="38"/>
        <v>PAR</v>
      </c>
      <c r="AX29" s="283" t="str">
        <f t="shared" si="38"/>
        <v>BOGEY</v>
      </c>
      <c r="AY29" s="283" t="str">
        <f t="shared" si="38"/>
        <v>DOUBLE</v>
      </c>
      <c r="AZ29" s="283" t="str">
        <f t="shared" si="38"/>
        <v>BOGEY</v>
      </c>
      <c r="BA29" s="283" t="str">
        <f t="shared" si="38"/>
        <v>BOGEY</v>
      </c>
      <c r="BB29" s="283" t="str">
        <f t="shared" si="38"/>
        <v>DOUBLE</v>
      </c>
      <c r="BC29" s="283" t="str">
        <f t="shared" si="38"/>
        <v>PAR</v>
      </c>
      <c r="BD29" s="283" t="str">
        <f t="shared" si="38"/>
        <v>QUAD+</v>
      </c>
      <c r="BE29" s="283" t="str">
        <f t="shared" si="38"/>
        <v>BOGEY</v>
      </c>
      <c r="BF29" s="283" t="str">
        <f t="shared" si="38"/>
        <v>PAR</v>
      </c>
      <c r="BG29" s="283" t="str">
        <f t="shared" si="38"/>
        <v>DOUBLE</v>
      </c>
      <c r="BH29" s="283" t="str">
        <f t="shared" si="38"/>
        <v>BOGEY</v>
      </c>
      <c r="BI29" s="283" t="str">
        <f t="shared" si="38"/>
        <v>PAR</v>
      </c>
      <c r="BJ29" s="283" t="str">
        <f t="shared" si="38"/>
        <v>BOGEY</v>
      </c>
      <c r="BK29" s="283" t="str">
        <f t="shared" si="38"/>
        <v>BOGEY</v>
      </c>
      <c r="BL29" s="283" t="str">
        <f t="shared" si="38"/>
        <v>BOGEY</v>
      </c>
      <c r="BM29" s="283" t="str">
        <f t="shared" si="38"/>
        <v>DOUBLE</v>
      </c>
      <c r="BN29" s="283" t="str">
        <f t="shared" si="38"/>
        <v>BOGEY</v>
      </c>
      <c r="BO29" s="283" t="str">
        <f t="shared" si="38"/>
        <v>PAR</v>
      </c>
      <c r="BP29" s="283" t="str">
        <f t="shared" si="38"/>
        <v>DOUBLE</v>
      </c>
      <c r="BQ29" s="283" t="str">
        <f t="shared" si="38"/>
        <v>BOGEY</v>
      </c>
      <c r="BR29" s="283" t="str">
        <f t="shared" si="38"/>
        <v>PAR</v>
      </c>
      <c r="BS29" s="283" t="str">
        <f t="shared" si="38"/>
        <v>BOGEY</v>
      </c>
      <c r="BT29" s="283" t="str">
        <f t="shared" ref="BT29:DE29" si="39">IF(BT19=-4,"CONDOR",IF(BT19=-3,"ALBATROSS",IF(BT19=-2,"EAGLE",IF(BT19=-1,"BIRDY",IF(BT19=0,"PAR",IF(BT19=1,"BOGEY",IF(BT19=2,"DOUBLE",IF(BT19=3,"TRIPLE",IF(BT19&gt;=4,"QUAD+")))))))))</f>
        <v>BOGEY</v>
      </c>
      <c r="BU29" s="283" t="str">
        <f t="shared" si="39"/>
        <v>BOGEY</v>
      </c>
      <c r="BV29" s="283" t="str">
        <f t="shared" si="39"/>
        <v>BIRDY</v>
      </c>
      <c r="BW29" s="283" t="str">
        <f t="shared" si="39"/>
        <v>BIRDY</v>
      </c>
      <c r="BX29" s="283" t="str">
        <f t="shared" si="39"/>
        <v>BOGEY</v>
      </c>
      <c r="BY29" s="283" t="str">
        <f t="shared" si="39"/>
        <v>PAR</v>
      </c>
      <c r="BZ29" s="283" t="str">
        <f t="shared" si="39"/>
        <v>EAGLE</v>
      </c>
      <c r="CA29" s="283" t="str">
        <f t="shared" si="39"/>
        <v>ALBATROSS</v>
      </c>
      <c r="CB29" s="283" t="str">
        <f t="shared" si="39"/>
        <v>EAGLE</v>
      </c>
      <c r="CC29" s="283" t="str">
        <f t="shared" si="39"/>
        <v>ALBATROSS</v>
      </c>
      <c r="CD29" s="283" t="str">
        <f t="shared" si="39"/>
        <v>PAR</v>
      </c>
      <c r="CE29" s="283" t="str">
        <f t="shared" si="39"/>
        <v>BIRDY</v>
      </c>
      <c r="CF29" s="283" t="str">
        <f t="shared" si="39"/>
        <v>EAGLE</v>
      </c>
      <c r="CG29" s="283" t="str">
        <f t="shared" si="39"/>
        <v>ALBATROSS</v>
      </c>
      <c r="CH29" s="283" t="str">
        <f t="shared" si="39"/>
        <v>BIRDY</v>
      </c>
      <c r="CI29" s="283" t="str">
        <f t="shared" si="39"/>
        <v>EAGLE</v>
      </c>
      <c r="CJ29" s="283" t="str">
        <f t="shared" si="39"/>
        <v>BOGEY</v>
      </c>
      <c r="CK29" s="283" t="str">
        <f t="shared" si="39"/>
        <v>DOUBLE</v>
      </c>
      <c r="CL29" s="283" t="str">
        <f t="shared" si="39"/>
        <v>DOUBLE</v>
      </c>
      <c r="CM29" s="283" t="str">
        <f t="shared" si="39"/>
        <v>TRIPLE</v>
      </c>
      <c r="CN29" s="283" t="str">
        <f t="shared" si="39"/>
        <v>CONDOR</v>
      </c>
      <c r="CO29" s="283" t="b">
        <f t="shared" si="39"/>
        <v>0</v>
      </c>
      <c r="CP29" s="283" t="str">
        <f t="shared" si="39"/>
        <v>ALBATROSS</v>
      </c>
      <c r="CQ29" s="283" t="b">
        <f t="shared" si="39"/>
        <v>0</v>
      </c>
      <c r="CR29" s="283" t="str">
        <f t="shared" si="39"/>
        <v>BIRDY</v>
      </c>
      <c r="CS29" s="283" t="str">
        <f t="shared" si="39"/>
        <v>CONDOR</v>
      </c>
      <c r="CT29" s="283" t="str">
        <f t="shared" si="39"/>
        <v>ALBATROSS</v>
      </c>
      <c r="CU29" s="283" t="str">
        <f t="shared" si="39"/>
        <v>CONDOR</v>
      </c>
      <c r="CV29" s="283" t="str">
        <f t="shared" si="39"/>
        <v>CONDOR</v>
      </c>
      <c r="CW29" s="283" t="str">
        <f t="shared" si="39"/>
        <v>CONDOR</v>
      </c>
      <c r="CX29" s="283" t="str">
        <f t="shared" si="39"/>
        <v>CONDOR</v>
      </c>
      <c r="CY29" s="283" t="b">
        <f t="shared" si="39"/>
        <v>0</v>
      </c>
      <c r="CZ29" s="283" t="str">
        <f t="shared" si="39"/>
        <v>CONDOR</v>
      </c>
      <c r="DA29" s="283" t="str">
        <f t="shared" si="39"/>
        <v>ALBATROSS</v>
      </c>
      <c r="DB29" s="283" t="str">
        <f t="shared" si="39"/>
        <v>CONDOR</v>
      </c>
      <c r="DC29" s="283" t="str">
        <f t="shared" si="39"/>
        <v>CONDOR</v>
      </c>
      <c r="DD29" s="283" t="str">
        <f t="shared" si="39"/>
        <v>ALBATROSS</v>
      </c>
      <c r="DE29" s="283" t="b">
        <f t="shared" si="39"/>
        <v>0</v>
      </c>
    </row>
    <row r="30" spans="1:109" x14ac:dyDescent="0.2">
      <c r="A30" t="str">
        <f t="shared" si="27"/>
        <v>LAING</v>
      </c>
      <c r="B30" s="283" t="str">
        <f t="shared" ref="B30:G30" si="40">IF(B20=-4,"CONDOR",IF(B20=-3,"ALBATROSS",IF(B20=-2,"EAGLE",IF(B20=-1,"BIRDY",IF(B20=0,"PAR",IF(B20=1,"BOGEY",IF(B20=2,"DOUBLE",IF(B20=3,"TRIPLE",IF(B20&gt;=4,"QUAD+")))))))))</f>
        <v>DOUBLE</v>
      </c>
      <c r="C30" s="283" t="str">
        <f t="shared" si="40"/>
        <v>QUAD+</v>
      </c>
      <c r="D30" s="283" t="str">
        <f t="shared" si="40"/>
        <v>DOUBLE</v>
      </c>
      <c r="E30" s="283" t="str">
        <f t="shared" si="40"/>
        <v>QUAD+</v>
      </c>
      <c r="F30" s="283" t="str">
        <f t="shared" si="40"/>
        <v>DOUBLE</v>
      </c>
      <c r="G30" s="283" t="str">
        <f t="shared" si="40"/>
        <v>QUAD+</v>
      </c>
      <c r="H30" s="283" t="str">
        <f t="shared" ref="H30:BS30" si="41">IF(H20=-4,"CONDOR",IF(H20=-3,"ALBATROSS",IF(H20=-2,"EAGLE",IF(H20=-1,"BIRDY",IF(H20=0,"PAR",IF(H20=1,"BOGEY",IF(H20=2,"DOUBLE",IF(H20=3,"TRIPLE",IF(H20&gt;=4,"QUAD+")))))))))</f>
        <v>DOUBLE</v>
      </c>
      <c r="I30" s="283" t="str">
        <f t="shared" si="41"/>
        <v>QUAD+</v>
      </c>
      <c r="J30" s="283" t="b">
        <f t="shared" si="41"/>
        <v>0</v>
      </c>
      <c r="K30" s="283" t="b">
        <f t="shared" si="41"/>
        <v>0</v>
      </c>
      <c r="L30" s="283" t="str">
        <f t="shared" si="41"/>
        <v>CONDOR</v>
      </c>
      <c r="M30" s="283" t="str">
        <f t="shared" si="41"/>
        <v>ALBATROSS</v>
      </c>
      <c r="N30" s="283" t="b">
        <f t="shared" si="41"/>
        <v>0</v>
      </c>
      <c r="O30" s="283" t="str">
        <f t="shared" si="41"/>
        <v>CONDOR</v>
      </c>
      <c r="P30" s="283" t="b">
        <f t="shared" si="41"/>
        <v>0</v>
      </c>
      <c r="Q30" s="283" t="str">
        <f t="shared" si="41"/>
        <v>CONDOR</v>
      </c>
      <c r="R30" s="283" t="str">
        <f t="shared" si="41"/>
        <v>ALBATROSS</v>
      </c>
      <c r="S30" s="283" t="str">
        <f t="shared" si="41"/>
        <v>CONDOR</v>
      </c>
      <c r="T30" s="283" t="str">
        <f t="shared" si="41"/>
        <v>TRIPLE</v>
      </c>
      <c r="U30" s="283" t="str">
        <f t="shared" si="41"/>
        <v>TRIPLE</v>
      </c>
      <c r="V30" s="283" t="str">
        <f t="shared" si="41"/>
        <v>PAR</v>
      </c>
      <c r="W30" s="283" t="str">
        <f t="shared" si="41"/>
        <v>PAR</v>
      </c>
      <c r="X30" s="283" t="str">
        <f t="shared" si="41"/>
        <v>BIRDY</v>
      </c>
      <c r="Y30" s="283" t="str">
        <f t="shared" si="41"/>
        <v>BIRDY</v>
      </c>
      <c r="Z30" s="283" t="str">
        <f t="shared" si="41"/>
        <v>QUAD+</v>
      </c>
      <c r="AA30" s="283" t="str">
        <f t="shared" si="41"/>
        <v>EAGLE</v>
      </c>
      <c r="AB30" s="283" t="str">
        <f t="shared" si="41"/>
        <v>BIRDY</v>
      </c>
      <c r="AC30" s="283" t="str">
        <f t="shared" si="41"/>
        <v>BOGEY</v>
      </c>
      <c r="AD30" s="283" t="str">
        <f t="shared" si="41"/>
        <v>PAR</v>
      </c>
      <c r="AE30" s="283" t="str">
        <f t="shared" si="41"/>
        <v>BOGEY</v>
      </c>
      <c r="AF30" s="283" t="str">
        <f t="shared" si="41"/>
        <v>BOGEY</v>
      </c>
      <c r="AG30" s="283" t="str">
        <f t="shared" si="41"/>
        <v>DOUBLE</v>
      </c>
      <c r="AH30" s="283" t="str">
        <f t="shared" si="41"/>
        <v>PAR</v>
      </c>
      <c r="AI30" s="283" t="str">
        <f t="shared" si="41"/>
        <v>DOUBLE</v>
      </c>
      <c r="AJ30" s="283" t="str">
        <f t="shared" si="41"/>
        <v>QUAD+</v>
      </c>
      <c r="AK30" s="283" t="str">
        <f t="shared" si="41"/>
        <v>DOUBLE</v>
      </c>
      <c r="AL30" s="283" t="str">
        <f t="shared" si="41"/>
        <v>BOGEY</v>
      </c>
      <c r="AM30" s="283" t="str">
        <f t="shared" si="41"/>
        <v>PAR</v>
      </c>
      <c r="AN30" s="283" t="str">
        <f t="shared" si="41"/>
        <v>DOUBLE</v>
      </c>
      <c r="AO30" s="283" t="str">
        <f t="shared" si="41"/>
        <v>PAR</v>
      </c>
      <c r="AP30" s="283" t="str">
        <f t="shared" si="41"/>
        <v>BOGEY</v>
      </c>
      <c r="AQ30" s="283" t="str">
        <f t="shared" si="41"/>
        <v>BOGEY</v>
      </c>
      <c r="AR30" s="283" t="str">
        <f t="shared" si="41"/>
        <v>DOUBLE</v>
      </c>
      <c r="AS30" s="283" t="str">
        <f t="shared" si="41"/>
        <v>BOGEY</v>
      </c>
      <c r="AT30" s="283" t="str">
        <f t="shared" si="41"/>
        <v>BOGEY</v>
      </c>
      <c r="AU30" s="283" t="str">
        <f t="shared" si="41"/>
        <v>BOGEY</v>
      </c>
      <c r="AV30" s="283" t="str">
        <f t="shared" si="41"/>
        <v>BOGEY</v>
      </c>
      <c r="AW30" s="283" t="str">
        <f t="shared" si="41"/>
        <v>PAR</v>
      </c>
      <c r="AX30" s="283" t="str">
        <f t="shared" si="41"/>
        <v>BOGEY</v>
      </c>
      <c r="AY30" s="283" t="str">
        <f t="shared" si="41"/>
        <v>DOUBLE</v>
      </c>
      <c r="AZ30" s="283" t="str">
        <f t="shared" si="41"/>
        <v>BOGEY</v>
      </c>
      <c r="BA30" s="283" t="str">
        <f t="shared" si="41"/>
        <v>BOGEY</v>
      </c>
      <c r="BB30" s="283" t="str">
        <f t="shared" si="41"/>
        <v>DOUBLE</v>
      </c>
      <c r="BC30" s="283" t="str">
        <f t="shared" si="41"/>
        <v>PAR</v>
      </c>
      <c r="BD30" s="283" t="str">
        <f t="shared" si="41"/>
        <v>QUAD+</v>
      </c>
      <c r="BE30" s="283" t="str">
        <f t="shared" si="41"/>
        <v>BOGEY</v>
      </c>
      <c r="BF30" s="283" t="str">
        <f t="shared" si="41"/>
        <v>PAR</v>
      </c>
      <c r="BG30" s="283" t="str">
        <f t="shared" si="41"/>
        <v>DOUBLE</v>
      </c>
      <c r="BH30" s="283" t="str">
        <f t="shared" si="41"/>
        <v>BOGEY</v>
      </c>
      <c r="BI30" s="283" t="str">
        <f t="shared" si="41"/>
        <v>PAR</v>
      </c>
      <c r="BJ30" s="283" t="str">
        <f t="shared" si="41"/>
        <v>BOGEY</v>
      </c>
      <c r="BK30" s="283" t="str">
        <f t="shared" si="41"/>
        <v>BOGEY</v>
      </c>
      <c r="BL30" s="283" t="str">
        <f t="shared" si="41"/>
        <v>BOGEY</v>
      </c>
      <c r="BM30" s="283" t="str">
        <f t="shared" si="41"/>
        <v>DOUBLE</v>
      </c>
      <c r="BN30" s="283" t="str">
        <f t="shared" si="41"/>
        <v>BOGEY</v>
      </c>
      <c r="BO30" s="283" t="str">
        <f t="shared" si="41"/>
        <v>PAR</v>
      </c>
      <c r="BP30" s="283" t="str">
        <f t="shared" si="41"/>
        <v>DOUBLE</v>
      </c>
      <c r="BQ30" s="283" t="str">
        <f t="shared" si="41"/>
        <v>BOGEY</v>
      </c>
      <c r="BR30" s="283" t="str">
        <f t="shared" si="41"/>
        <v>PAR</v>
      </c>
      <c r="BS30" s="283" t="str">
        <f t="shared" si="41"/>
        <v>BOGEY</v>
      </c>
      <c r="BT30" s="283" t="str">
        <f t="shared" ref="BT30:DE30" si="42">IF(BT20=-4,"CONDOR",IF(BT20=-3,"ALBATROSS",IF(BT20=-2,"EAGLE",IF(BT20=-1,"BIRDY",IF(BT20=0,"PAR",IF(BT20=1,"BOGEY",IF(BT20=2,"DOUBLE",IF(BT20=3,"TRIPLE",IF(BT20&gt;=4,"QUAD+")))))))))</f>
        <v>BOGEY</v>
      </c>
      <c r="BU30" s="283" t="str">
        <f t="shared" si="42"/>
        <v>BOGEY</v>
      </c>
      <c r="BV30" s="283" t="str">
        <f t="shared" si="42"/>
        <v>EAGLE</v>
      </c>
      <c r="BW30" s="283" t="str">
        <f t="shared" si="42"/>
        <v>ALBATROSS</v>
      </c>
      <c r="BX30" s="283" t="str">
        <f t="shared" si="42"/>
        <v>CONDOR</v>
      </c>
      <c r="BY30" s="283" t="str">
        <f t="shared" si="42"/>
        <v>EAGLE</v>
      </c>
      <c r="BZ30" s="283" t="str">
        <f t="shared" si="42"/>
        <v>ALBATROSS</v>
      </c>
      <c r="CA30" s="283" t="str">
        <f t="shared" si="42"/>
        <v>CONDOR</v>
      </c>
      <c r="CB30" s="283" t="str">
        <f t="shared" si="42"/>
        <v>ALBATROSS</v>
      </c>
      <c r="CC30" s="283" t="str">
        <f t="shared" si="42"/>
        <v>ALBATROSS</v>
      </c>
      <c r="CD30" s="283" t="str">
        <f t="shared" si="42"/>
        <v>ALBATROSS</v>
      </c>
      <c r="CE30" s="283" t="str">
        <f t="shared" si="42"/>
        <v>EAGLE</v>
      </c>
      <c r="CF30" s="283" t="str">
        <f t="shared" si="42"/>
        <v>ALBATROSS</v>
      </c>
      <c r="CG30" s="283" t="str">
        <f t="shared" si="42"/>
        <v>CONDOR</v>
      </c>
      <c r="CH30" s="283" t="str">
        <f t="shared" si="42"/>
        <v>EAGLE</v>
      </c>
      <c r="CI30" s="283" t="str">
        <f t="shared" si="42"/>
        <v>ALBATROSS</v>
      </c>
      <c r="CJ30" s="283" t="str">
        <f t="shared" si="42"/>
        <v>CONDOR</v>
      </c>
      <c r="CK30" s="283" t="str">
        <f t="shared" si="42"/>
        <v>ALBATROSS</v>
      </c>
      <c r="CL30" s="283" t="str">
        <f t="shared" si="42"/>
        <v>ALBATROSS</v>
      </c>
      <c r="CM30" s="283" t="str">
        <f t="shared" si="42"/>
        <v>ALBATROSS</v>
      </c>
      <c r="CN30" s="283" t="str">
        <f t="shared" si="42"/>
        <v>CONDOR</v>
      </c>
      <c r="CO30" s="283" t="b">
        <f t="shared" si="42"/>
        <v>0</v>
      </c>
      <c r="CP30" s="283" t="str">
        <f t="shared" si="42"/>
        <v>ALBATROSS</v>
      </c>
      <c r="CQ30" s="283" t="b">
        <f t="shared" si="42"/>
        <v>0</v>
      </c>
      <c r="CR30" s="283" t="str">
        <f t="shared" si="42"/>
        <v>CONDOR</v>
      </c>
      <c r="CS30" s="283" t="str">
        <f t="shared" si="42"/>
        <v>EAGLE</v>
      </c>
      <c r="CT30" s="283" t="str">
        <f t="shared" si="42"/>
        <v>ALBATROSS</v>
      </c>
      <c r="CU30" s="283" t="str">
        <f t="shared" si="42"/>
        <v>CONDOR</v>
      </c>
      <c r="CV30" s="283" t="str">
        <f t="shared" si="42"/>
        <v>CONDOR</v>
      </c>
      <c r="CW30" s="283" t="str">
        <f t="shared" si="42"/>
        <v>CONDOR</v>
      </c>
      <c r="CX30" s="283" t="str">
        <f t="shared" si="42"/>
        <v>CONDOR</v>
      </c>
      <c r="CY30" s="283" t="b">
        <f t="shared" si="42"/>
        <v>0</v>
      </c>
      <c r="CZ30" s="283" t="str">
        <f t="shared" si="42"/>
        <v>CONDOR</v>
      </c>
      <c r="DA30" s="283" t="str">
        <f t="shared" si="42"/>
        <v>ALBATROSS</v>
      </c>
      <c r="DB30" s="283" t="str">
        <f t="shared" si="42"/>
        <v>CONDOR</v>
      </c>
      <c r="DC30" s="283" t="str">
        <f t="shared" si="42"/>
        <v>CONDOR</v>
      </c>
      <c r="DD30" s="283" t="str">
        <f t="shared" si="42"/>
        <v>ALBATROSS</v>
      </c>
      <c r="DE30" s="283" t="b">
        <f t="shared" si="42"/>
        <v>0</v>
      </c>
    </row>
    <row r="31" spans="1:109" x14ac:dyDescent="0.2">
      <c r="A31" t="str">
        <f t="shared" si="27"/>
        <v>REILLY</v>
      </c>
      <c r="B31" s="283" t="str">
        <f t="shared" ref="B31:G31" si="43">IF(B21=-4,"CONDOR",IF(B21=-3,"ALBATROSS",IF(B21=-2,"EAGLE",IF(B21=-1,"BIRDY",IF(B21=0,"PAR",IF(B21=1,"BOGEY",IF(B21=2,"DOUBLE",IF(B21=3,"TRIPLE",IF(B21&gt;=4,"QUAD+")))))))))</f>
        <v>DOUBLE</v>
      </c>
      <c r="C31" s="283" t="str">
        <f t="shared" si="43"/>
        <v>ALBATROSS</v>
      </c>
      <c r="D31" s="283" t="str">
        <f t="shared" si="43"/>
        <v>CONDOR</v>
      </c>
      <c r="E31" s="283" t="str">
        <f t="shared" si="43"/>
        <v>CONDOR</v>
      </c>
      <c r="F31" s="283" t="str">
        <f t="shared" si="43"/>
        <v>CONDOR</v>
      </c>
      <c r="G31" s="283" t="str">
        <f t="shared" si="43"/>
        <v>CONDOR</v>
      </c>
      <c r="H31" s="283" t="str">
        <f t="shared" ref="H31:BS31" si="44">IF(H21=-4,"CONDOR",IF(H21=-3,"ALBATROSS",IF(H21=-2,"EAGLE",IF(H21=-1,"BIRDY",IF(H21=0,"PAR",IF(H21=1,"BOGEY",IF(H21=2,"DOUBLE",IF(H21=3,"TRIPLE",IF(H21&gt;=4,"QUAD+")))))))))</f>
        <v>CONDOR</v>
      </c>
      <c r="I31" s="283" t="str">
        <f t="shared" si="44"/>
        <v>ALBATROSS</v>
      </c>
      <c r="J31" s="283" t="b">
        <f t="shared" si="44"/>
        <v>0</v>
      </c>
      <c r="K31" s="283" t="b">
        <f t="shared" si="44"/>
        <v>0</v>
      </c>
      <c r="L31" s="283" t="str">
        <f t="shared" si="44"/>
        <v>CONDOR</v>
      </c>
      <c r="M31" s="283" t="str">
        <f t="shared" si="44"/>
        <v>ALBATROSS</v>
      </c>
      <c r="N31" s="283" t="b">
        <f t="shared" si="44"/>
        <v>0</v>
      </c>
      <c r="O31" s="283" t="str">
        <f t="shared" si="44"/>
        <v>CONDOR</v>
      </c>
      <c r="P31" s="283" t="b">
        <f t="shared" si="44"/>
        <v>0</v>
      </c>
      <c r="Q31" s="283" t="str">
        <f t="shared" si="44"/>
        <v>CONDOR</v>
      </c>
      <c r="R31" s="283" t="str">
        <f t="shared" si="44"/>
        <v>ALBATROSS</v>
      </c>
      <c r="S31" s="283" t="str">
        <f t="shared" si="44"/>
        <v>CONDOR</v>
      </c>
      <c r="T31" s="283" t="str">
        <f t="shared" si="44"/>
        <v>TRIPLE</v>
      </c>
      <c r="U31" s="283" t="str">
        <f t="shared" si="44"/>
        <v>DOUBLE</v>
      </c>
      <c r="V31" s="283" t="str">
        <f t="shared" si="44"/>
        <v>TRIPLE</v>
      </c>
      <c r="W31" s="283" t="str">
        <f t="shared" si="44"/>
        <v>TRIPLE</v>
      </c>
      <c r="X31" s="283" t="str">
        <f t="shared" si="44"/>
        <v>TRIPLE</v>
      </c>
      <c r="Y31" s="283" t="str">
        <f t="shared" si="44"/>
        <v>CONDOR</v>
      </c>
      <c r="Z31" s="283" t="str">
        <f t="shared" si="44"/>
        <v>EAGLE</v>
      </c>
      <c r="AA31" s="283" t="str">
        <f t="shared" si="44"/>
        <v>TRIPLE</v>
      </c>
      <c r="AB31" s="283" t="str">
        <f t="shared" si="44"/>
        <v>DOUBLE</v>
      </c>
      <c r="AC31" s="283" t="str">
        <f t="shared" si="44"/>
        <v>TRIPLE</v>
      </c>
      <c r="AD31" s="283" t="str">
        <f t="shared" si="44"/>
        <v>DOUBLE</v>
      </c>
      <c r="AE31" s="283" t="str">
        <f t="shared" si="44"/>
        <v>TRIPLE</v>
      </c>
      <c r="AF31" s="283" t="str">
        <f t="shared" si="44"/>
        <v>TRIPLE</v>
      </c>
      <c r="AG31" s="283" t="str">
        <f t="shared" si="44"/>
        <v>QUAD+</v>
      </c>
      <c r="AH31" s="283" t="str">
        <f t="shared" si="44"/>
        <v>DOUBLE</v>
      </c>
      <c r="AI31" s="283" t="str">
        <f t="shared" si="44"/>
        <v>DOUBLE</v>
      </c>
      <c r="AJ31" s="283" t="str">
        <f t="shared" si="44"/>
        <v>QUAD+</v>
      </c>
      <c r="AK31" s="283" t="str">
        <f t="shared" si="44"/>
        <v>BOGEY</v>
      </c>
      <c r="AL31" s="283" t="str">
        <f t="shared" si="44"/>
        <v>BOGEY</v>
      </c>
      <c r="AM31" s="283" t="str">
        <f t="shared" si="44"/>
        <v>PAR</v>
      </c>
      <c r="AN31" s="283" t="str">
        <f t="shared" si="44"/>
        <v>DOUBLE</v>
      </c>
      <c r="AO31" s="283" t="str">
        <f t="shared" si="44"/>
        <v>PAR</v>
      </c>
      <c r="AP31" s="283" t="str">
        <f t="shared" si="44"/>
        <v>BOGEY</v>
      </c>
      <c r="AQ31" s="283" t="str">
        <f t="shared" si="44"/>
        <v>BOGEY</v>
      </c>
      <c r="AR31" s="283" t="str">
        <f t="shared" si="44"/>
        <v>DOUBLE</v>
      </c>
      <c r="AS31" s="283" t="str">
        <f t="shared" si="44"/>
        <v>BOGEY</v>
      </c>
      <c r="AT31" s="283" t="str">
        <f t="shared" si="44"/>
        <v>BOGEY</v>
      </c>
      <c r="AU31" s="283" t="str">
        <f t="shared" si="44"/>
        <v>BOGEY</v>
      </c>
      <c r="AV31" s="283" t="str">
        <f t="shared" si="44"/>
        <v>BOGEY</v>
      </c>
      <c r="AW31" s="283" t="str">
        <f t="shared" si="44"/>
        <v>PAR</v>
      </c>
      <c r="AX31" s="283" t="str">
        <f t="shared" si="44"/>
        <v>BOGEY</v>
      </c>
      <c r="AY31" s="283" t="str">
        <f t="shared" si="44"/>
        <v>DOUBLE</v>
      </c>
      <c r="AZ31" s="283" t="str">
        <f t="shared" si="44"/>
        <v>BOGEY</v>
      </c>
      <c r="BA31" s="283" t="str">
        <f t="shared" si="44"/>
        <v>BOGEY</v>
      </c>
      <c r="BB31" s="283" t="str">
        <f t="shared" si="44"/>
        <v>DOUBLE</v>
      </c>
      <c r="BC31" s="283" t="str">
        <f t="shared" si="44"/>
        <v>PAR</v>
      </c>
      <c r="BD31" s="283" t="str">
        <f t="shared" si="44"/>
        <v>QUAD+</v>
      </c>
      <c r="BE31" s="283" t="str">
        <f t="shared" si="44"/>
        <v>BOGEY</v>
      </c>
      <c r="BF31" s="283" t="str">
        <f t="shared" si="44"/>
        <v>PAR</v>
      </c>
      <c r="BG31" s="283" t="str">
        <f t="shared" si="44"/>
        <v>DOUBLE</v>
      </c>
      <c r="BH31" s="283" t="str">
        <f t="shared" si="44"/>
        <v>BOGEY</v>
      </c>
      <c r="BI31" s="283" t="str">
        <f t="shared" si="44"/>
        <v>PAR</v>
      </c>
      <c r="BJ31" s="283" t="str">
        <f t="shared" si="44"/>
        <v>BOGEY</v>
      </c>
      <c r="BK31" s="283" t="str">
        <f t="shared" si="44"/>
        <v>BOGEY</v>
      </c>
      <c r="BL31" s="283" t="str">
        <f t="shared" si="44"/>
        <v>BOGEY</v>
      </c>
      <c r="BM31" s="283" t="str">
        <f t="shared" si="44"/>
        <v>DOUBLE</v>
      </c>
      <c r="BN31" s="283" t="str">
        <f t="shared" si="44"/>
        <v>BOGEY</v>
      </c>
      <c r="BO31" s="283" t="str">
        <f t="shared" si="44"/>
        <v>PAR</v>
      </c>
      <c r="BP31" s="283" t="str">
        <f t="shared" si="44"/>
        <v>DOUBLE</v>
      </c>
      <c r="BQ31" s="283" t="str">
        <f t="shared" si="44"/>
        <v>BOGEY</v>
      </c>
      <c r="BR31" s="283" t="str">
        <f t="shared" si="44"/>
        <v>PAR</v>
      </c>
      <c r="BS31" s="283" t="str">
        <f t="shared" si="44"/>
        <v>BOGEY</v>
      </c>
      <c r="BT31" s="283" t="str">
        <f t="shared" ref="BT31:DE31" si="45">IF(BT21=-4,"CONDOR",IF(BT21=-3,"ALBATROSS",IF(BT21=-2,"EAGLE",IF(BT21=-1,"BIRDY",IF(BT21=0,"PAR",IF(BT21=1,"BOGEY",IF(BT21=2,"DOUBLE",IF(BT21=3,"TRIPLE",IF(BT21&gt;=4,"QUAD+")))))))))</f>
        <v>BOGEY</v>
      </c>
      <c r="BU31" s="283" t="str">
        <f t="shared" si="45"/>
        <v>BOGEY</v>
      </c>
      <c r="BV31" s="283" t="str">
        <f t="shared" si="45"/>
        <v>QUAD+</v>
      </c>
      <c r="BW31" s="283" t="str">
        <f t="shared" si="45"/>
        <v>BOGEY</v>
      </c>
      <c r="BX31" s="283" t="str">
        <f t="shared" si="45"/>
        <v>DOUBLE</v>
      </c>
      <c r="BY31" s="283" t="str">
        <f t="shared" si="45"/>
        <v>QUAD+</v>
      </c>
      <c r="BZ31" s="283" t="str">
        <f t="shared" si="45"/>
        <v>TRIPLE</v>
      </c>
      <c r="CA31" s="283" t="str">
        <f t="shared" si="45"/>
        <v>CONDOR</v>
      </c>
      <c r="CB31" s="283" t="str">
        <f t="shared" si="45"/>
        <v>ALBATROSS</v>
      </c>
      <c r="CC31" s="283" t="str">
        <f t="shared" si="45"/>
        <v>TRIPLE</v>
      </c>
      <c r="CD31" s="283" t="str">
        <f t="shared" si="45"/>
        <v>TRIPLE</v>
      </c>
      <c r="CE31" s="283" t="str">
        <f t="shared" si="45"/>
        <v>QUAD+</v>
      </c>
      <c r="CF31" s="283" t="str">
        <f t="shared" si="45"/>
        <v>TRIPLE</v>
      </c>
      <c r="CG31" s="283" t="str">
        <f t="shared" si="45"/>
        <v>DOUBLE</v>
      </c>
      <c r="CH31" s="283" t="str">
        <f t="shared" si="45"/>
        <v>QUAD+</v>
      </c>
      <c r="CI31" s="283" t="str">
        <f t="shared" si="45"/>
        <v>TRIPLE</v>
      </c>
      <c r="CJ31" s="283" t="str">
        <f t="shared" si="45"/>
        <v>DOUBLE</v>
      </c>
      <c r="CK31" s="283" t="str">
        <f t="shared" si="45"/>
        <v>DOUBLE</v>
      </c>
      <c r="CL31" s="283" t="str">
        <f t="shared" si="45"/>
        <v>TRIPLE</v>
      </c>
      <c r="CM31" s="283" t="str">
        <f t="shared" si="45"/>
        <v>BOGEY</v>
      </c>
      <c r="CN31" s="283" t="str">
        <f t="shared" si="45"/>
        <v>CONDOR</v>
      </c>
      <c r="CO31" s="283" t="b">
        <f t="shared" si="45"/>
        <v>0</v>
      </c>
      <c r="CP31" s="283" t="str">
        <f t="shared" si="45"/>
        <v>ALBATROSS</v>
      </c>
      <c r="CQ31" s="283" t="b">
        <f t="shared" si="45"/>
        <v>0</v>
      </c>
      <c r="CR31" s="283" t="str">
        <f t="shared" si="45"/>
        <v>CONDOR</v>
      </c>
      <c r="CS31" s="283" t="str">
        <f t="shared" si="45"/>
        <v>CONDOR</v>
      </c>
      <c r="CT31" s="283" t="str">
        <f t="shared" si="45"/>
        <v>EAGLE</v>
      </c>
      <c r="CU31" s="283" t="str">
        <f t="shared" si="45"/>
        <v>CONDOR</v>
      </c>
      <c r="CV31" s="283" t="str">
        <f t="shared" si="45"/>
        <v>CONDOR</v>
      </c>
      <c r="CW31" s="283" t="str">
        <f t="shared" si="45"/>
        <v>CONDOR</v>
      </c>
      <c r="CX31" s="283" t="str">
        <f t="shared" si="45"/>
        <v>CONDOR</v>
      </c>
      <c r="CY31" s="283" t="b">
        <f t="shared" si="45"/>
        <v>0</v>
      </c>
      <c r="CZ31" s="283" t="str">
        <f t="shared" si="45"/>
        <v>CONDOR</v>
      </c>
      <c r="DA31" s="283" t="str">
        <f t="shared" si="45"/>
        <v>ALBATROSS</v>
      </c>
      <c r="DB31" s="283" t="str">
        <f t="shared" si="45"/>
        <v>CONDOR</v>
      </c>
      <c r="DC31" s="283" t="str">
        <f t="shared" si="45"/>
        <v>CONDOR</v>
      </c>
      <c r="DD31" s="283" t="str">
        <f t="shared" si="45"/>
        <v>ALBATROSS</v>
      </c>
      <c r="DE31" s="283" t="b">
        <f t="shared" si="45"/>
        <v>0</v>
      </c>
    </row>
    <row r="32" spans="1:109" x14ac:dyDescent="0.2">
      <c r="A32" t="str">
        <f t="shared" si="27"/>
        <v>STONES</v>
      </c>
      <c r="B32" s="283" t="str">
        <f t="shared" ref="B32:G32" si="46">IF(B22=-4,"CONDOR",IF(B22=-3,"ALBATROSS",IF(B22=-2,"EAGLE",IF(B22=-1,"BIRDY",IF(B22=0,"PAR",IF(B22=1,"BOGEY",IF(B22=2,"DOUBLE",IF(B22=3,"TRIPLE",IF(B22&gt;=4,"QUAD+")))))))))</f>
        <v>DOUBLE</v>
      </c>
      <c r="C32" s="283" t="str">
        <f t="shared" si="46"/>
        <v>BOGEY</v>
      </c>
      <c r="D32" s="283" t="str">
        <f t="shared" si="46"/>
        <v>PAR</v>
      </c>
      <c r="E32" s="283" t="str">
        <f t="shared" si="46"/>
        <v>TRIPLE</v>
      </c>
      <c r="F32" s="283" t="str">
        <f t="shared" si="46"/>
        <v>PAR</v>
      </c>
      <c r="G32" s="283" t="str">
        <f t="shared" si="46"/>
        <v>PAR</v>
      </c>
      <c r="H32" s="283" t="str">
        <f t="shared" ref="H32:BS32" si="47">IF(H22=-4,"CONDOR",IF(H22=-3,"ALBATROSS",IF(H22=-2,"EAGLE",IF(H22=-1,"BIRDY",IF(H22=0,"PAR",IF(H22=1,"BOGEY",IF(H22=2,"DOUBLE",IF(H22=3,"TRIPLE",IF(H22&gt;=4,"QUAD+")))))))))</f>
        <v>PAR</v>
      </c>
      <c r="I32" s="283" t="str">
        <f t="shared" si="47"/>
        <v>BOGEY</v>
      </c>
      <c r="J32" s="283" t="str">
        <f t="shared" si="47"/>
        <v>BIRDY</v>
      </c>
      <c r="K32" s="283" t="str">
        <f t="shared" si="47"/>
        <v>BIRDY</v>
      </c>
      <c r="L32" s="283" t="str">
        <f t="shared" si="47"/>
        <v>PAR</v>
      </c>
      <c r="M32" s="283" t="str">
        <f t="shared" si="47"/>
        <v>BOGEY</v>
      </c>
      <c r="N32" s="283" t="str">
        <f t="shared" si="47"/>
        <v>BIRDY</v>
      </c>
      <c r="O32" s="283" t="str">
        <f t="shared" si="47"/>
        <v>PAR</v>
      </c>
      <c r="P32" s="283" t="str">
        <f t="shared" si="47"/>
        <v>BIRDY</v>
      </c>
      <c r="Q32" s="283" t="str">
        <f t="shared" si="47"/>
        <v>PAR</v>
      </c>
      <c r="R32" s="283" t="str">
        <f t="shared" si="47"/>
        <v>BOGEY</v>
      </c>
      <c r="S32" s="283" t="str">
        <f t="shared" si="47"/>
        <v>PAR</v>
      </c>
      <c r="T32" s="283" t="str">
        <f t="shared" si="47"/>
        <v>TRIPLE</v>
      </c>
      <c r="U32" s="283" t="str">
        <f t="shared" si="47"/>
        <v>BOGEY</v>
      </c>
      <c r="V32" s="283" t="str">
        <f t="shared" si="47"/>
        <v>TRIPLE</v>
      </c>
      <c r="W32" s="283" t="str">
        <f t="shared" si="47"/>
        <v>TRIPLE</v>
      </c>
      <c r="X32" s="283" t="str">
        <f t="shared" si="47"/>
        <v>TRIPLE</v>
      </c>
      <c r="Y32" s="283" t="str">
        <f t="shared" si="47"/>
        <v>DOUBLE</v>
      </c>
      <c r="Z32" s="283" t="str">
        <f t="shared" si="47"/>
        <v>QUAD+</v>
      </c>
      <c r="AA32" s="283" t="str">
        <f t="shared" si="47"/>
        <v>TRIPLE</v>
      </c>
      <c r="AB32" s="283" t="str">
        <f t="shared" si="47"/>
        <v>CONDOR</v>
      </c>
      <c r="AC32" s="283" t="str">
        <f t="shared" si="47"/>
        <v>TRIPLE</v>
      </c>
      <c r="AD32" s="283" t="str">
        <f t="shared" si="47"/>
        <v>DOUBLE</v>
      </c>
      <c r="AE32" s="283" t="str">
        <f t="shared" si="47"/>
        <v>TRIPLE</v>
      </c>
      <c r="AF32" s="283" t="str">
        <f t="shared" si="47"/>
        <v>TRIPLE</v>
      </c>
      <c r="AG32" s="283" t="str">
        <f t="shared" si="47"/>
        <v>QUAD+</v>
      </c>
      <c r="AH32" s="283" t="str">
        <f t="shared" si="47"/>
        <v>DOUBLE</v>
      </c>
      <c r="AI32" s="283" t="str">
        <f t="shared" si="47"/>
        <v>TRIPLE</v>
      </c>
      <c r="AJ32" s="283" t="str">
        <f t="shared" si="47"/>
        <v>QUAD+</v>
      </c>
      <c r="AK32" s="283" t="str">
        <f t="shared" si="47"/>
        <v>PAR</v>
      </c>
      <c r="AL32" s="283" t="str">
        <f t="shared" si="47"/>
        <v>BOGEY</v>
      </c>
      <c r="AM32" s="283" t="str">
        <f t="shared" si="47"/>
        <v>PAR</v>
      </c>
      <c r="AN32" s="283" t="str">
        <f t="shared" si="47"/>
        <v>DOUBLE</v>
      </c>
      <c r="AO32" s="283" t="str">
        <f t="shared" si="47"/>
        <v>PAR</v>
      </c>
      <c r="AP32" s="283" t="str">
        <f t="shared" si="47"/>
        <v>BOGEY</v>
      </c>
      <c r="AQ32" s="283" t="str">
        <f t="shared" si="47"/>
        <v>BOGEY</v>
      </c>
      <c r="AR32" s="283" t="str">
        <f t="shared" si="47"/>
        <v>DOUBLE</v>
      </c>
      <c r="AS32" s="283" t="str">
        <f t="shared" si="47"/>
        <v>BOGEY</v>
      </c>
      <c r="AT32" s="283" t="str">
        <f t="shared" si="47"/>
        <v>BOGEY</v>
      </c>
      <c r="AU32" s="283" t="str">
        <f t="shared" si="47"/>
        <v>BOGEY</v>
      </c>
      <c r="AV32" s="283" t="str">
        <f t="shared" si="47"/>
        <v>BOGEY</v>
      </c>
      <c r="AW32" s="283" t="str">
        <f t="shared" si="47"/>
        <v>PAR</v>
      </c>
      <c r="AX32" s="283" t="str">
        <f t="shared" si="47"/>
        <v>BOGEY</v>
      </c>
      <c r="AY32" s="283" t="str">
        <f t="shared" si="47"/>
        <v>DOUBLE</v>
      </c>
      <c r="AZ32" s="283" t="str">
        <f t="shared" si="47"/>
        <v>BOGEY</v>
      </c>
      <c r="BA32" s="283" t="str">
        <f t="shared" si="47"/>
        <v>BOGEY</v>
      </c>
      <c r="BB32" s="283" t="str">
        <f t="shared" si="47"/>
        <v>DOUBLE</v>
      </c>
      <c r="BC32" s="283" t="str">
        <f t="shared" si="47"/>
        <v>PAR</v>
      </c>
      <c r="BD32" s="283" t="str">
        <f t="shared" si="47"/>
        <v>QUAD+</v>
      </c>
      <c r="BE32" s="283" t="str">
        <f t="shared" si="47"/>
        <v>BOGEY</v>
      </c>
      <c r="BF32" s="283" t="str">
        <f t="shared" si="47"/>
        <v>PAR</v>
      </c>
      <c r="BG32" s="283" t="str">
        <f t="shared" si="47"/>
        <v>DOUBLE</v>
      </c>
      <c r="BH32" s="283" t="str">
        <f t="shared" si="47"/>
        <v>BOGEY</v>
      </c>
      <c r="BI32" s="283" t="str">
        <f t="shared" si="47"/>
        <v>PAR</v>
      </c>
      <c r="BJ32" s="283" t="str">
        <f t="shared" si="47"/>
        <v>BOGEY</v>
      </c>
      <c r="BK32" s="283" t="str">
        <f t="shared" si="47"/>
        <v>BOGEY</v>
      </c>
      <c r="BL32" s="283" t="str">
        <f t="shared" si="47"/>
        <v>BOGEY</v>
      </c>
      <c r="BM32" s="283" t="str">
        <f t="shared" si="47"/>
        <v>DOUBLE</v>
      </c>
      <c r="BN32" s="283" t="str">
        <f t="shared" si="47"/>
        <v>BOGEY</v>
      </c>
      <c r="BO32" s="283" t="str">
        <f t="shared" si="47"/>
        <v>PAR</v>
      </c>
      <c r="BP32" s="283" t="str">
        <f t="shared" si="47"/>
        <v>DOUBLE</v>
      </c>
      <c r="BQ32" s="283" t="str">
        <f t="shared" si="47"/>
        <v>BOGEY</v>
      </c>
      <c r="BR32" s="283" t="str">
        <f t="shared" si="47"/>
        <v>PAR</v>
      </c>
      <c r="BS32" s="283" t="str">
        <f t="shared" si="47"/>
        <v>BOGEY</v>
      </c>
      <c r="BT32" s="283" t="str">
        <f t="shared" ref="BT32:DE32" si="48">IF(BT22=-4,"CONDOR",IF(BT22=-3,"ALBATROSS",IF(BT22=-2,"EAGLE",IF(BT22=-1,"BIRDY",IF(BT22=0,"PAR",IF(BT22=1,"BOGEY",IF(BT22=2,"DOUBLE",IF(BT22=3,"TRIPLE",IF(BT22&gt;=4,"QUAD+")))))))))</f>
        <v>BOGEY</v>
      </c>
      <c r="BU32" s="283" t="str">
        <f t="shared" si="48"/>
        <v>BOGEY</v>
      </c>
      <c r="BV32" s="283" t="str">
        <f t="shared" si="48"/>
        <v>QUAD+</v>
      </c>
      <c r="BW32" s="283" t="str">
        <f t="shared" si="48"/>
        <v>PAR</v>
      </c>
      <c r="BX32" s="283" t="str">
        <f t="shared" si="48"/>
        <v>DOUBLE</v>
      </c>
      <c r="BY32" s="283" t="str">
        <f t="shared" si="48"/>
        <v>QUAD+</v>
      </c>
      <c r="BZ32" s="283" t="str">
        <f t="shared" si="48"/>
        <v>TRIPLE</v>
      </c>
      <c r="CA32" s="283" t="str">
        <f t="shared" si="48"/>
        <v>DOUBLE</v>
      </c>
      <c r="CB32" s="283" t="str">
        <f t="shared" si="48"/>
        <v>TRIPLE</v>
      </c>
      <c r="CC32" s="283" t="str">
        <f t="shared" si="48"/>
        <v>TRIPLE</v>
      </c>
      <c r="CD32" s="283" t="str">
        <f t="shared" si="48"/>
        <v>ALBATROSS</v>
      </c>
      <c r="CE32" s="283" t="str">
        <f t="shared" si="48"/>
        <v>QUAD+</v>
      </c>
      <c r="CF32" s="283" t="str">
        <f t="shared" si="48"/>
        <v>TRIPLE</v>
      </c>
      <c r="CG32" s="283" t="str">
        <f t="shared" si="48"/>
        <v>DOUBLE</v>
      </c>
      <c r="CH32" s="283" t="str">
        <f t="shared" si="48"/>
        <v>QUAD+</v>
      </c>
      <c r="CI32" s="283" t="str">
        <f t="shared" si="48"/>
        <v>TRIPLE</v>
      </c>
      <c r="CJ32" s="283" t="str">
        <f t="shared" si="48"/>
        <v>DOUBLE</v>
      </c>
      <c r="CK32" s="283" t="str">
        <f t="shared" si="48"/>
        <v>TRIPLE</v>
      </c>
      <c r="CL32" s="283" t="str">
        <f t="shared" si="48"/>
        <v>TRIPLE</v>
      </c>
      <c r="CM32" s="283" t="str">
        <f t="shared" si="48"/>
        <v>PAR</v>
      </c>
      <c r="CN32" s="283" t="str">
        <f t="shared" si="48"/>
        <v>CONDOR</v>
      </c>
      <c r="CO32" s="283" t="b">
        <f t="shared" si="48"/>
        <v>0</v>
      </c>
      <c r="CP32" s="283" t="str">
        <f t="shared" si="48"/>
        <v>ALBATROSS</v>
      </c>
      <c r="CQ32" s="283" t="b">
        <f t="shared" si="48"/>
        <v>0</v>
      </c>
      <c r="CR32" s="283" t="str">
        <f t="shared" si="48"/>
        <v>CONDOR</v>
      </c>
      <c r="CS32" s="283" t="str">
        <f t="shared" si="48"/>
        <v>CONDOR</v>
      </c>
      <c r="CT32" s="283" t="str">
        <f t="shared" si="48"/>
        <v>ALBATROSS</v>
      </c>
      <c r="CU32" s="283" t="str">
        <f t="shared" si="48"/>
        <v>CONDOR</v>
      </c>
      <c r="CV32" s="283" t="str">
        <f t="shared" si="48"/>
        <v>CONDOR</v>
      </c>
      <c r="CW32" s="283" t="str">
        <f t="shared" si="48"/>
        <v>CONDOR</v>
      </c>
      <c r="CX32" s="283" t="str">
        <f t="shared" si="48"/>
        <v>CONDOR</v>
      </c>
      <c r="CY32" s="283" t="b">
        <f t="shared" si="48"/>
        <v>0</v>
      </c>
      <c r="CZ32" s="283" t="str">
        <f t="shared" si="48"/>
        <v>CONDOR</v>
      </c>
      <c r="DA32" s="283" t="str">
        <f t="shared" si="48"/>
        <v>ALBATROSS</v>
      </c>
      <c r="DB32" s="283" t="str">
        <f t="shared" si="48"/>
        <v>CONDOR</v>
      </c>
      <c r="DC32" s="283" t="str">
        <f t="shared" si="48"/>
        <v>CONDOR</v>
      </c>
      <c r="DD32" s="283" t="str">
        <f t="shared" si="48"/>
        <v>ALBATROSS</v>
      </c>
      <c r="DE32" s="283" t="b">
        <f t="shared" si="48"/>
        <v>0</v>
      </c>
    </row>
    <row r="34" spans="1:15" x14ac:dyDescent="0.2">
      <c r="B34" t="s">
        <v>109</v>
      </c>
      <c r="C34" t="s">
        <v>110</v>
      </c>
      <c r="D34" t="s">
        <v>23</v>
      </c>
      <c r="E34" t="s">
        <v>111</v>
      </c>
      <c r="F34" t="s">
        <v>112</v>
      </c>
      <c r="G34" t="s">
        <v>113</v>
      </c>
      <c r="H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119</v>
      </c>
      <c r="O34" t="s">
        <v>117</v>
      </c>
    </row>
    <row r="35" spans="1:15" x14ac:dyDescent="0.2">
      <c r="A35" t="str">
        <f>A25</f>
        <v>BELLIS</v>
      </c>
      <c r="B35">
        <f>COUNTIF($B$25:$DE$25,B34)</f>
        <v>2</v>
      </c>
      <c r="C35">
        <f t="shared" ref="C35:H35" si="49">COUNTIF($B$25:$DE$25,C34)</f>
        <v>1</v>
      </c>
      <c r="D35">
        <f t="shared" si="49"/>
        <v>12</v>
      </c>
      <c r="E35">
        <f t="shared" si="49"/>
        <v>31</v>
      </c>
      <c r="F35">
        <f t="shared" si="49"/>
        <v>11</v>
      </c>
      <c r="G35">
        <f t="shared" si="49"/>
        <v>8</v>
      </c>
      <c r="H35">
        <f t="shared" si="49"/>
        <v>25</v>
      </c>
      <c r="J35">
        <f>SUM(B5:S5)</f>
        <v>90</v>
      </c>
      <c r="K35">
        <f>SUM(T5:AK5)</f>
        <v>133</v>
      </c>
      <c r="L35">
        <f>SUM(AL5:BC5)</f>
        <v>90</v>
      </c>
      <c r="M35">
        <f>SUM(BD5:BU5)</f>
        <v>89</v>
      </c>
      <c r="N35">
        <f>SUM(BV5:CM5)</f>
        <v>133</v>
      </c>
      <c r="O35">
        <f>SUM(CN5:DE5)</f>
        <v>7</v>
      </c>
    </row>
    <row r="36" spans="1:15" x14ac:dyDescent="0.2">
      <c r="A36" t="str">
        <f t="shared" ref="A36:A42" si="50">A26</f>
        <v>DEY</v>
      </c>
      <c r="B36">
        <f>COUNTIF($B$26:$DE$26,B34)</f>
        <v>3</v>
      </c>
      <c r="C36">
        <f t="shared" ref="C36:H36" si="51">COUNTIF($B$26:$DE$26,C34)</f>
        <v>0</v>
      </c>
      <c r="D36">
        <f t="shared" si="51"/>
        <v>8</v>
      </c>
      <c r="E36">
        <f t="shared" si="51"/>
        <v>22</v>
      </c>
      <c r="F36">
        <f t="shared" si="51"/>
        <v>11</v>
      </c>
      <c r="G36">
        <f t="shared" si="51"/>
        <v>4</v>
      </c>
      <c r="H36">
        <f t="shared" si="51"/>
        <v>25</v>
      </c>
      <c r="J36">
        <f t="shared" ref="J36:J42" si="52">SUM(B6:S6)</f>
        <v>59</v>
      </c>
      <c r="K36">
        <f t="shared" ref="K36:K42" si="53">SUM(T6:AK6)</f>
        <v>128</v>
      </c>
      <c r="L36">
        <f t="shared" ref="L36:L42" si="54">SUM(AL6:BC6)</f>
        <v>90</v>
      </c>
      <c r="M36">
        <f t="shared" ref="M36:M42" si="55">SUM(BD6:BU6)</f>
        <v>90</v>
      </c>
      <c r="N36">
        <f t="shared" ref="N36:N42" si="56">SUM(BV6:CM6)</f>
        <v>98</v>
      </c>
      <c r="O36">
        <f t="shared" ref="O36:O42" si="57">SUM(CN6:DE6)</f>
        <v>6</v>
      </c>
    </row>
    <row r="37" spans="1:15" x14ac:dyDescent="0.2">
      <c r="A37" t="str">
        <f t="shared" si="50"/>
        <v>DONOVAN</v>
      </c>
      <c r="B37">
        <f>COUNTIF($B$27:$DE$27,B34)</f>
        <v>2</v>
      </c>
      <c r="C37">
        <f t="shared" ref="C37:H37" si="58">COUNTIF($B$27:$DE$27,C34)</f>
        <v>9</v>
      </c>
      <c r="D37">
        <f t="shared" si="58"/>
        <v>23</v>
      </c>
      <c r="E37">
        <f t="shared" si="58"/>
        <v>27</v>
      </c>
      <c r="F37">
        <f t="shared" si="58"/>
        <v>11</v>
      </c>
      <c r="G37">
        <f t="shared" si="58"/>
        <v>1</v>
      </c>
      <c r="H37">
        <f t="shared" si="58"/>
        <v>8</v>
      </c>
      <c r="J37">
        <f t="shared" si="52"/>
        <v>59</v>
      </c>
      <c r="K37">
        <f t="shared" si="53"/>
        <v>78</v>
      </c>
      <c r="L37">
        <f t="shared" si="54"/>
        <v>90</v>
      </c>
      <c r="M37">
        <f t="shared" si="55"/>
        <v>91</v>
      </c>
      <c r="N37">
        <f t="shared" si="56"/>
        <v>78</v>
      </c>
      <c r="O37">
        <f t="shared" si="57"/>
        <v>5</v>
      </c>
    </row>
    <row r="38" spans="1:15" x14ac:dyDescent="0.2">
      <c r="A38" t="str">
        <f t="shared" si="50"/>
        <v>FINDLAY</v>
      </c>
      <c r="B38">
        <f>COUNTIF($B$28:$DE$28,B34)</f>
        <v>7</v>
      </c>
      <c r="C38">
        <f t="shared" ref="C38:H38" si="59">COUNTIF($B$28:$DE$28,C34)</f>
        <v>5</v>
      </c>
      <c r="D38">
        <f t="shared" si="59"/>
        <v>13</v>
      </c>
      <c r="E38">
        <f t="shared" si="59"/>
        <v>27</v>
      </c>
      <c r="F38">
        <f t="shared" si="59"/>
        <v>14</v>
      </c>
      <c r="G38">
        <f t="shared" si="59"/>
        <v>3</v>
      </c>
      <c r="H38">
        <f t="shared" si="59"/>
        <v>3</v>
      </c>
      <c r="J38">
        <f t="shared" si="52"/>
        <v>44</v>
      </c>
      <c r="K38">
        <f t="shared" si="53"/>
        <v>60</v>
      </c>
      <c r="L38">
        <f t="shared" si="54"/>
        <v>90</v>
      </c>
      <c r="M38">
        <f t="shared" si="55"/>
        <v>92</v>
      </c>
      <c r="N38">
        <f t="shared" si="56"/>
        <v>63</v>
      </c>
      <c r="O38">
        <f t="shared" si="57"/>
        <v>4</v>
      </c>
    </row>
    <row r="39" spans="1:15" x14ac:dyDescent="0.2">
      <c r="A39" t="str">
        <f t="shared" si="50"/>
        <v>HOLLANDS</v>
      </c>
      <c r="B39">
        <f>COUNTIF($B$29:$DE$29,B34)</f>
        <v>9</v>
      </c>
      <c r="C39">
        <f t="shared" ref="C39:H39" si="60">COUNTIF($B$29:$DE$29,C34)</f>
        <v>9</v>
      </c>
      <c r="D39">
        <f t="shared" si="60"/>
        <v>11</v>
      </c>
      <c r="E39">
        <f t="shared" si="60"/>
        <v>24</v>
      </c>
      <c r="F39">
        <f t="shared" si="60"/>
        <v>15</v>
      </c>
      <c r="G39">
        <f t="shared" si="60"/>
        <v>3</v>
      </c>
      <c r="H39">
        <f t="shared" si="60"/>
        <v>4</v>
      </c>
      <c r="J39">
        <f t="shared" si="52"/>
        <v>55</v>
      </c>
      <c r="K39">
        <f t="shared" si="53"/>
        <v>60</v>
      </c>
      <c r="L39">
        <f t="shared" si="54"/>
        <v>90</v>
      </c>
      <c r="M39">
        <f t="shared" si="55"/>
        <v>93</v>
      </c>
      <c r="N39">
        <f t="shared" si="56"/>
        <v>60</v>
      </c>
      <c r="O39">
        <f t="shared" si="57"/>
        <v>3</v>
      </c>
    </row>
    <row r="40" spans="1:15" x14ac:dyDescent="0.2">
      <c r="A40" t="str">
        <f t="shared" si="50"/>
        <v>LAING</v>
      </c>
      <c r="B40">
        <f>COUNTIF($B$30:$DE$30,B34)</f>
        <v>6</v>
      </c>
      <c r="C40">
        <f t="shared" ref="C40:H40" si="61">COUNTIF($B$30:$DE$30,C34)</f>
        <v>3</v>
      </c>
      <c r="D40">
        <f t="shared" si="61"/>
        <v>12</v>
      </c>
      <c r="E40">
        <f t="shared" si="61"/>
        <v>23</v>
      </c>
      <c r="F40">
        <f t="shared" si="61"/>
        <v>14</v>
      </c>
      <c r="G40">
        <f t="shared" si="61"/>
        <v>2</v>
      </c>
      <c r="H40">
        <f t="shared" si="61"/>
        <v>7</v>
      </c>
      <c r="J40">
        <f t="shared" si="52"/>
        <v>60</v>
      </c>
      <c r="K40">
        <f t="shared" si="53"/>
        <v>90</v>
      </c>
      <c r="L40">
        <f t="shared" si="54"/>
        <v>90</v>
      </c>
      <c r="M40">
        <f t="shared" si="55"/>
        <v>94</v>
      </c>
      <c r="N40">
        <f t="shared" si="56"/>
        <v>18</v>
      </c>
      <c r="O40">
        <f t="shared" si="57"/>
        <v>2</v>
      </c>
    </row>
    <row r="41" spans="1:15" x14ac:dyDescent="0.2">
      <c r="A41" t="str">
        <f t="shared" si="50"/>
        <v>REILLY</v>
      </c>
      <c r="B41">
        <f>COUNTIF($B$31:$DE$31,B34)</f>
        <v>2</v>
      </c>
      <c r="C41">
        <f t="shared" ref="C41:H41" si="62">COUNTIF($B$31:$DE$31,C34)</f>
        <v>0</v>
      </c>
      <c r="D41">
        <f t="shared" si="62"/>
        <v>8</v>
      </c>
      <c r="E41">
        <f t="shared" si="62"/>
        <v>23</v>
      </c>
      <c r="F41">
        <f t="shared" si="62"/>
        <v>17</v>
      </c>
      <c r="G41">
        <f t="shared" si="62"/>
        <v>14</v>
      </c>
      <c r="H41">
        <f t="shared" si="62"/>
        <v>7</v>
      </c>
      <c r="J41">
        <f t="shared" si="52"/>
        <v>6</v>
      </c>
      <c r="K41">
        <f t="shared" si="53"/>
        <v>109</v>
      </c>
      <c r="L41">
        <f t="shared" si="54"/>
        <v>90</v>
      </c>
      <c r="M41">
        <f t="shared" si="55"/>
        <v>95</v>
      </c>
      <c r="N41">
        <f t="shared" si="56"/>
        <v>109</v>
      </c>
      <c r="O41">
        <f t="shared" si="57"/>
        <v>1</v>
      </c>
    </row>
    <row r="42" spans="1:15" x14ac:dyDescent="0.2">
      <c r="A42" t="str">
        <f t="shared" si="50"/>
        <v>STONES</v>
      </c>
      <c r="B42">
        <f>COUNTIF($B$32:$DE$32,B34)</f>
        <v>0</v>
      </c>
      <c r="C42">
        <f t="shared" ref="C42:H42" si="63">COUNTIF($B$32:$DE$32,C34)</f>
        <v>4</v>
      </c>
      <c r="D42">
        <f t="shared" si="63"/>
        <v>19</v>
      </c>
      <c r="E42">
        <f t="shared" si="63"/>
        <v>25</v>
      </c>
      <c r="F42">
        <f t="shared" si="63"/>
        <v>15</v>
      </c>
      <c r="G42">
        <f t="shared" si="63"/>
        <v>17</v>
      </c>
      <c r="H42">
        <f t="shared" si="63"/>
        <v>8</v>
      </c>
      <c r="J42">
        <f t="shared" si="52"/>
        <v>77</v>
      </c>
      <c r="K42">
        <f t="shared" si="53"/>
        <v>114</v>
      </c>
      <c r="L42">
        <f t="shared" si="54"/>
        <v>90</v>
      </c>
      <c r="M42">
        <f t="shared" si="55"/>
        <v>96</v>
      </c>
      <c r="N42">
        <f t="shared" si="56"/>
        <v>114</v>
      </c>
      <c r="O42">
        <f t="shared" si="57"/>
        <v>0</v>
      </c>
    </row>
    <row r="44" spans="1:15" x14ac:dyDescent="0.2">
      <c r="B44">
        <f>LARGE(B35:B42,1)</f>
        <v>9</v>
      </c>
      <c r="C44">
        <f t="shared" ref="C44:H44" si="64">LARGE(C35:C42,1)</f>
        <v>9</v>
      </c>
      <c r="D44">
        <f t="shared" si="64"/>
        <v>23</v>
      </c>
      <c r="E44">
        <f t="shared" si="64"/>
        <v>31</v>
      </c>
      <c r="F44">
        <f t="shared" si="64"/>
        <v>17</v>
      </c>
      <c r="G44">
        <f t="shared" si="64"/>
        <v>17</v>
      </c>
      <c r="H44">
        <f t="shared" si="64"/>
        <v>25</v>
      </c>
    </row>
  </sheetData>
  <conditionalFormatting sqref="B35:B42">
    <cfRule type="expression" dxfId="0" priority="1">
      <formula>"IF=$B$44"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Round1</vt:lpstr>
      <vt:lpstr>RND 1 STBL</vt:lpstr>
      <vt:lpstr>Round2</vt:lpstr>
      <vt:lpstr>RND 2 MP</vt:lpstr>
      <vt:lpstr>Round3</vt:lpstr>
      <vt:lpstr>RND 3 MSTB</vt:lpstr>
      <vt:lpstr>Round4</vt:lpstr>
      <vt:lpstr>RND 4 STBL</vt:lpstr>
      <vt:lpstr>Round5</vt:lpstr>
      <vt:lpstr>RND 5 MP</vt:lpstr>
      <vt:lpstr>Round6</vt:lpstr>
      <vt:lpstr>RND 6 NET</vt:lpstr>
      <vt:lpstr>OVERALL CALC</vt:lpstr>
      <vt:lpstr>HCP TRK</vt:lpstr>
      <vt:lpstr>OPTA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2025-10-22T20:51:23Z</dcterms:created>
  <dcterms:modified xsi:type="dcterms:W3CDTF">2025-12-18T14:48:39Z</dcterms:modified>
</cp:coreProperties>
</file>